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sha\Downloads\"/>
    </mc:Choice>
  </mc:AlternateContent>
  <xr:revisionPtr revIDLastSave="0" documentId="13_ncr:1_{738AD5F1-AEAB-44A6-8C77-3EADE2A35F41}" xr6:coauthVersionLast="47" xr6:coauthVersionMax="47" xr10:uidLastSave="{00000000-0000-0000-0000-000000000000}"/>
  <bookViews>
    <workbookView xWindow="-98" yWindow="-98" windowWidth="24196" windowHeight="14476" activeTab="3" xr2:uid="{00000000-000D-0000-FFFF-FFFF00000000}"/>
  </bookViews>
  <sheets>
    <sheet name="Sheet3" sheetId="3" r:id="rId1"/>
    <sheet name="Sheet1" sheetId="1" r:id="rId2"/>
    <sheet name="Sheet2" sheetId="2" r:id="rId3"/>
    <sheet name="Sheet4" sheetId="4" r:id="rId4"/>
  </sheets>
  <definedNames>
    <definedName name="_xlnm._FilterDatabase" localSheetId="2" hidden="1">Sheet2!$L$7:$L$28</definedName>
    <definedName name="_xlchart.v1.0" hidden="1">Sheet1!$F$2:$F$3837</definedName>
    <definedName name="_xlchart.v1.1" hidden="1">Sheet1!$G$1</definedName>
    <definedName name="_xlchart.v1.2" hidden="1">Sheet1!$G$2:$G$3837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 a="1"/>
  <c r="U2" i="1" s="1"/>
  <c r="U3" i="1" a="1"/>
  <c r="U3" i="1"/>
  <c r="U4" i="1" a="1"/>
  <c r="U4" i="1" s="1"/>
  <c r="U5" i="1" a="1"/>
  <c r="U5" i="1"/>
  <c r="U6" i="1" a="1"/>
  <c r="U6" i="1" s="1"/>
  <c r="U7" i="1" a="1"/>
  <c r="U7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2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2" i="1"/>
  <c r="P2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O5" i="1"/>
  <c r="O4" i="1"/>
  <c r="O3" i="1"/>
  <c r="A38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<sst xmlns="http://schemas.openxmlformats.org/spreadsheetml/2006/main" count="23258" uniqueCount="1072">
  <si>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</si>
  <si>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</si>
  <si>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</si>
  <si>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</si>
  <si>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</si>
  <si>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</si>
  <si>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</si>
  <si>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</si>
  <si>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</si>
  <si>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</si>
  <si>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</si>
  <si>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</si>
  <si>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</si>
  <si>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</si>
  <si>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</si>
  <si>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</si>
  <si>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</si>
  <si>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</si>
  <si>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</si>
  <si>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</si>
  <si>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</si>
  <si>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</si>
  <si>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</si>
  <si>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</si>
  <si>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</si>
  <si>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</si>
  <si>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</si>
  <si>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</si>
  <si>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</si>
  <si>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</si>
  <si>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</si>
  <si>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</si>
  <si>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</si>
  <si>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</si>
  <si>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</si>
  <si>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</si>
  <si>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</si>
  <si>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</si>
  <si>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</si>
  <si>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</si>
  <si>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</si>
  <si>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</si>
  <si>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</si>
  <si>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</si>
  <si>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</si>
  <si>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</si>
  <si>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</si>
  <si>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</si>
  <si>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</si>
  <si>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</si>
  <si>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</si>
  <si>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</si>
  <si>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</si>
  <si>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</si>
  <si>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</si>
  <si>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</si>
  <si>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</si>
  <si>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</si>
  <si>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</si>
  <si>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</si>
  <si>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</si>
  <si>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</si>
  <si>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</si>
  <si>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</si>
  <si>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</si>
  <si>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</si>
  <si>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</si>
  <si>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</si>
  <si>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</si>
  <si>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</si>
  <si>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</si>
  <si>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</si>
  <si>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</si>
  <si>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</si>
  <si>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</si>
  <si>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</si>
  <si>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</si>
  <si>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</si>
  <si>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</si>
  <si>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</si>
  <si>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</si>
  <si>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</si>
  <si>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</si>
  <si>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</si>
  <si>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</si>
  <si>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</si>
  <si>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</si>
  <si>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</si>
  <si>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</si>
  <si>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</si>
  <si>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</si>
  <si>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</si>
  <si>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</si>
  <si>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</si>
  <si>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</si>
  <si>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</si>
  <si>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</si>
  <si>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</si>
  <si>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</si>
  <si>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</si>
  <si>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</si>
  <si>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</si>
  <si>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</si>
  <si>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</si>
  <si>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</si>
  <si>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</si>
  <si>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</si>
  <si>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</si>
  <si>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</si>
  <si>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</si>
  <si>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</si>
  <si>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</si>
  <si>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</si>
  <si>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</si>
  <si>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</si>
  <si>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</si>
  <si>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</si>
  <si>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</si>
  <si>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</si>
  <si>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</si>
  <si>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</si>
  <si>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</si>
  <si>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</si>
  <si>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</si>
  <si>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</si>
  <si>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</si>
  <si>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</si>
  <si>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</si>
  <si>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</si>
  <si>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</si>
  <si>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</si>
  <si>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</si>
  <si>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</si>
  <si>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</si>
  <si>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</si>
  <si>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</si>
  <si>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</si>
  <si>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</si>
  <si>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</si>
  <si>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</si>
  <si>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</si>
  <si>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</si>
  <si>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</si>
  <si>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</si>
  <si>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</si>
  <si>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</si>
  <si>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</si>
  <si>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</si>
  <si>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</si>
  <si>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</si>
  <si>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</si>
  <si>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</si>
  <si>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</si>
  <si>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</si>
  <si>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</si>
  <si>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</si>
  <si>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</si>
  <si>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</si>
  <si>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</si>
  <si>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</si>
  <si>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</si>
  <si>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</si>
  <si>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</si>
  <si>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</si>
  <si>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</si>
  <si>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</si>
  <si>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</si>
  <si>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</si>
  <si>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</si>
  <si>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</si>
  <si>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</si>
  <si>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</si>
  <si>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</si>
  <si>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</si>
  <si>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</si>
  <si>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</si>
  <si>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</si>
  <si>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</si>
  <si>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</si>
  <si>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</si>
  <si>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</si>
  <si>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</si>
  <si>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</si>
  <si>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</si>
  <si>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</si>
  <si>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</si>
  <si>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</si>
  <si>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</si>
  <si>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</si>
  <si>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</si>
  <si>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</si>
  <si>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</si>
  <si>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</si>
  <si>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</si>
  <si>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</si>
  <si>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</si>
  <si>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</si>
  <si>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</si>
  <si>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</si>
  <si>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</si>
  <si>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</si>
  <si>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</si>
  <si>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</si>
  <si>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</si>
  <si>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</si>
  <si>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</si>
  <si>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</si>
  <si>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</si>
  <si>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</si>
  <si>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</si>
  <si>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</si>
  <si>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</si>
  <si>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</si>
  <si>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</si>
  <si>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</si>
  <si>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</si>
  <si>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</si>
  <si>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</si>
  <si>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</si>
  <si>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</si>
  <si>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</si>
  <si>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</si>
  <si>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</si>
  <si>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</si>
  <si>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</si>
  <si>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</si>
  <si>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</si>
  <si>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</si>
  <si>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</si>
  <si>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</si>
  <si>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</si>
  <si>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</si>
  <si>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</si>
  <si>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</si>
  <si>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</si>
  <si>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</si>
  <si>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</si>
  <si>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</si>
  <si>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</si>
  <si>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</si>
  <si>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</si>
  <si>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</si>
  <si>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</si>
  <si>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</si>
  <si>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</si>
  <si>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</si>
  <si>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</si>
  <si>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</si>
  <si>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</si>
  <si>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</si>
  <si>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</si>
  <si>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</si>
  <si>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</si>
  <si>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</si>
  <si>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</si>
  <si>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</si>
  <si>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</si>
  <si>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</si>
  <si>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</si>
  <si>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</si>
  <si>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</si>
  <si>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</si>
  <si>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</si>
  <si>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</si>
  <si>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</si>
  <si>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</si>
  <si>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</si>
  <si>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</si>
  <si>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</si>
  <si>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</si>
  <si>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</si>
  <si>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</si>
  <si>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</si>
  <si>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</si>
  <si>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</si>
  <si>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</si>
  <si>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</si>
  <si>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</si>
  <si>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</si>
  <si>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</si>
  <si>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</si>
  <si>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</si>
  <si>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</si>
  <si>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</si>
  <si>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</si>
  <si>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</si>
  <si>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</si>
  <si>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</si>
  <si>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</si>
  <si>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</si>
  <si>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</si>
  <si>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</si>
  <si>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</si>
  <si>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</si>
  <si>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</si>
  <si>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</si>
  <si>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</si>
  <si>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</si>
  <si>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</si>
  <si>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</si>
  <si>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</si>
  <si>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</si>
  <si>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</si>
  <si>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</si>
  <si>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</si>
  <si>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</si>
  <si>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</si>
  <si>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</si>
  <si>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</si>
  <si>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</si>
  <si>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</si>
  <si>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</si>
  <si>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</si>
  <si>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</si>
  <si>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</si>
  <si>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</si>
  <si>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</si>
  <si>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</si>
  <si>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</si>
  <si>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</si>
  <si>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</si>
  <si>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</si>
  <si>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</si>
  <si>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</si>
  <si>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</si>
  <si>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</si>
  <si>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</si>
  <si>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</si>
  <si>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</si>
  <si>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</si>
  <si>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</si>
  <si>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</si>
  <si>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</si>
  <si>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</si>
  <si>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</si>
  <si>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</si>
  <si>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</si>
  <si>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</si>
  <si>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</si>
  <si>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</si>
  <si>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</si>
  <si>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</si>
  <si>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</si>
  <si>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</si>
  <si>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</si>
  <si>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</si>
  <si>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</si>
  <si>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</si>
  <si>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</si>
  <si>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</si>
  <si>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</si>
  <si>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</si>
  <si>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</si>
  <si>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</si>
  <si>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</si>
  <si>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</si>
  <si>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</si>
  <si>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</si>
  <si>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</si>
  <si>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</si>
  <si>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</si>
  <si>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</si>
  <si>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</si>
  <si>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</si>
  <si>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</si>
  <si>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</si>
  <si>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</si>
  <si>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</si>
  <si>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</si>
  <si>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</si>
  <si>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</si>
  <si>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</si>
  <si>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</si>
  <si>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</si>
  <si>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</si>
  <si>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</si>
  <si>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</si>
  <si>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</si>
  <si>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</si>
  <si>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</si>
  <si>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</si>
  <si>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</si>
  <si>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</si>
  <si>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</si>
  <si>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</si>
  <si>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</si>
  <si>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</si>
  <si>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</si>
  <si>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</si>
  <si>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</si>
  <si>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</si>
  <si>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</si>
  <si>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</si>
  <si>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</si>
  <si>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</si>
  <si>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</si>
  <si>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</si>
  <si>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</si>
  <si>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</si>
  <si>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</si>
  <si>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</si>
  <si>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</si>
  <si>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</si>
  <si>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</si>
  <si>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</si>
  <si>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</si>
  <si>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</si>
  <si>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</si>
  <si>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</si>
  <si>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</si>
  <si>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</si>
  <si>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</si>
  <si>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</si>
  <si>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</si>
  <si>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</si>
  <si>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</si>
  <si>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</si>
  <si>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</si>
  <si>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</si>
  <si>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</si>
  <si>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</si>
  <si>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</si>
  <si>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</si>
  <si>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</si>
  <si>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</si>
  <si>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</si>
  <si>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</si>
  <si>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</si>
  <si>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</si>
  <si>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</si>
  <si>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</si>
  <si>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</si>
  <si>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</si>
  <si>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</si>
  <si>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</si>
  <si>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</si>
  <si>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</si>
  <si>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</si>
  <si>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</si>
  <si>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</si>
  <si>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</si>
  <si>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</si>
  <si>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</si>
  <si>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</si>
  <si>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</si>
  <si>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</si>
  <si>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</si>
  <si>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</si>
  <si>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</si>
  <si>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</si>
  <si>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</si>
  <si>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</si>
  <si>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</si>
  <si>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</si>
  <si>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</si>
  <si>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</si>
  <si>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</si>
  <si>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</si>
  <si>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</si>
  <si>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</si>
  <si>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</si>
  <si>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</si>
  <si>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</si>
  <si>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</si>
  <si>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</si>
  <si>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</si>
  <si>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</si>
  <si>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</si>
  <si>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</si>
  <si>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</si>
  <si>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</si>
  <si>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</si>
  <si>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</si>
  <si>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</si>
  <si>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</si>
  <si>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</si>
  <si>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</si>
  <si>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</si>
  <si>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</si>
  <si>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</si>
  <si>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</si>
  <si>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</si>
  <si>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</si>
  <si>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</si>
  <si>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</si>
  <si>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</si>
  <si>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</si>
  <si>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</si>
  <si>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</si>
  <si>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</si>
  <si>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</si>
  <si>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</si>
  <si>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</si>
  <si>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</si>
  <si>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</si>
  <si>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</si>
  <si>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</si>
  <si>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</si>
  <si>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</si>
  <si>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</si>
  <si>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</si>
  <si>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</si>
  <si>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</si>
  <si>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</si>
  <si>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</si>
  <si>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</si>
  <si>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</si>
  <si>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</si>
  <si>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</si>
  <si>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</si>
  <si>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</si>
  <si>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</si>
  <si>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</si>
  <si>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</si>
  <si>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</si>
  <si>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</si>
  <si>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</si>
  <si>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</si>
  <si>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</si>
  <si>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</si>
  <si>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</si>
  <si>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</si>
  <si>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</si>
  <si>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</si>
  <si>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</si>
  <si>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</si>
  <si>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</si>
  <si>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</si>
  <si>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</si>
  <si>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</si>
  <si>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</si>
  <si>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</si>
  <si>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</si>
  <si>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</si>
  <si>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</si>
  <si>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</si>
  <si>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</si>
  <si>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</si>
  <si>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</si>
  <si>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</si>
  <si>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</si>
  <si>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</si>
  <si>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</si>
  <si>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</si>
  <si>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</si>
  <si>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</si>
  <si>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</si>
  <si>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</si>
  <si>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</si>
  <si>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</si>
  <si>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</si>
  <si>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</si>
  <si>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</si>
  <si>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</si>
  <si>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</si>
  <si>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</si>
  <si>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</si>
  <si>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</si>
  <si>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</si>
  <si>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</si>
  <si>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</si>
  <si>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</si>
  <si>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</si>
  <si>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</si>
  <si>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</si>
  <si>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</si>
  <si>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</si>
  <si>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</si>
  <si>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</si>
  <si>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</si>
  <si>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</si>
  <si>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</si>
  <si>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</si>
  <si>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</si>
  <si>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</si>
  <si>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</si>
  <si>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</si>
  <si>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</si>
  <si>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</si>
  <si>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</si>
  <si>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</si>
  <si>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</si>
  <si>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</si>
  <si>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</si>
  <si>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</si>
  <si>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</si>
  <si>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</si>
  <si>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</si>
  <si>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</si>
  <si>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</si>
  <si>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</si>
  <si>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</si>
  <si>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</si>
  <si>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</si>
  <si>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</si>
  <si>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</si>
  <si>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</si>
  <si>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</si>
  <si>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</si>
  <si>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</si>
  <si>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</si>
  <si>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</si>
  <si>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</si>
  <si>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</si>
  <si>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</si>
  <si>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</si>
  <si>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</si>
  <si>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</si>
  <si>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</si>
  <si>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</si>
  <si>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</si>
  <si>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</si>
  <si>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</si>
  <si>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</si>
  <si>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</si>
  <si>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</si>
  <si>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</si>
  <si>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</si>
  <si>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</si>
  <si>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</si>
  <si>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</si>
  <si>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</si>
  <si>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</si>
  <si>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</si>
  <si>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</si>
  <si>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</si>
  <si>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</si>
  <si>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</si>
  <si>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</si>
  <si>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</si>
  <si>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</si>
  <si>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</si>
  <si>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</si>
  <si>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</si>
  <si>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</si>
  <si>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</si>
  <si>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</si>
  <si>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</si>
  <si>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</si>
  <si>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</si>
  <si>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</si>
  <si>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</si>
  <si>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</si>
  <si>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</si>
  <si>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</si>
  <si>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</si>
  <si>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</si>
  <si>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</si>
  <si>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</si>
  <si>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</si>
  <si>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</si>
  <si>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</si>
  <si>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</si>
  <si>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</si>
  <si>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</si>
  <si>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</si>
  <si>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</si>
  <si>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</si>
  <si>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</si>
  <si>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</si>
  <si>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</si>
  <si>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</si>
  <si>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</si>
  <si>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</si>
  <si>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</si>
  <si>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</si>
  <si>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</si>
  <si>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</si>
  <si>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</si>
  <si>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</si>
  <si>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</si>
  <si>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</si>
  <si>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</si>
  <si>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</si>
  <si>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</si>
  <si>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</si>
  <si>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</si>
  <si>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</si>
  <si>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</si>
  <si>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</si>
  <si>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</si>
  <si>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</si>
  <si>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</si>
  <si>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</si>
  <si>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</si>
  <si>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</si>
  <si>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</si>
  <si>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</si>
  <si>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</si>
  <si>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</si>
  <si>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</si>
  <si>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</si>
  <si>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</si>
  <si>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</si>
  <si>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</si>
  <si>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</si>
  <si>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</si>
  <si>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</si>
  <si>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</si>
  <si>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</si>
  <si>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</si>
  <si>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</si>
  <si>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</si>
  <si>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</si>
  <si>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</si>
  <si>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</si>
  <si>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</si>
  <si>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</si>
  <si>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</si>
  <si>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</si>
  <si>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</si>
  <si>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</si>
  <si>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</si>
  <si>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</si>
  <si>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</si>
  <si>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</si>
  <si>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</si>
  <si>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</si>
  <si>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</si>
  <si>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</si>
  <si>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</si>
  <si>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</si>
  <si>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</si>
  <si>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</si>
  <si>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</si>
  <si>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</si>
  <si>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</si>
  <si>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</si>
  <si>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</si>
  <si>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</si>
  <si>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</si>
  <si>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</si>
  <si>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</si>
  <si>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</si>
  <si>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</si>
  <si>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</si>
  <si>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</si>
  <si>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</si>
  <si>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</si>
  <si>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</si>
  <si>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</si>
  <si>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</si>
  <si>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</si>
  <si>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</si>
  <si>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</si>
  <si>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</si>
  <si>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</si>
  <si>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</si>
  <si>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</si>
  <si>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</si>
  <si>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</si>
  <si>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</si>
  <si>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</si>
  <si>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</si>
  <si>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</si>
  <si>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</si>
  <si>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</si>
  <si>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</si>
  <si>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</si>
  <si>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</si>
  <si>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</si>
  <si>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</si>
  <si>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</si>
  <si>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</si>
  <si>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</si>
  <si>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</si>
  <si>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</si>
  <si>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</si>
  <si>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</si>
  <si>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</si>
  <si>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</si>
  <si>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</si>
  <si>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</si>
  <si>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</si>
  <si>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</si>
  <si>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</si>
  <si>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</si>
  <si>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</si>
  <si>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</si>
  <si>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</si>
  <si>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</si>
  <si>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</si>
  <si>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</si>
  <si>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</si>
  <si>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</si>
  <si>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</si>
  <si>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</si>
  <si>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</si>
  <si>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</si>
  <si>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</si>
  <si>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</si>
  <si>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</si>
  <si>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</si>
  <si>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</si>
  <si>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</si>
  <si>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</si>
  <si>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</si>
  <si>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</si>
  <si>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</si>
  <si>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</si>
  <si>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</si>
  <si>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</si>
  <si>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</si>
  <si>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</si>
  <si>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</si>
  <si>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</si>
  <si>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</si>
  <si>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</si>
  <si>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</si>
  <si>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</si>
  <si>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</si>
  <si>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</si>
  <si>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</si>
  <si>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</si>
  <si>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</si>
  <si>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</si>
  <si>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</si>
  <si>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</si>
  <si>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</si>
  <si>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</si>
  <si>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</si>
  <si>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</si>
  <si>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</si>
  <si>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</si>
  <si>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</si>
  <si>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</si>
  <si>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</si>
  <si>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</si>
  <si>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</si>
  <si>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</si>
  <si>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</si>
  <si>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</si>
  <si>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</si>
  <si>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</si>
  <si>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</si>
  <si>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</si>
  <si>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</si>
  <si>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</si>
  <si>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</si>
  <si>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</si>
  <si>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</si>
  <si>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</si>
  <si>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</si>
  <si>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</si>
  <si>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</si>
  <si>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</si>
  <si>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</si>
  <si>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</si>
  <si>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</si>
  <si>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</si>
  <si>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</si>
  <si>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</si>
  <si>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</si>
  <si>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</si>
  <si>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</si>
  <si>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</si>
  <si>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</si>
  <si>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</si>
  <si>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</si>
  <si>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</si>
  <si>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</si>
  <si>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</si>
  <si>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</si>
  <si>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</si>
  <si>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</si>
  <si>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</si>
  <si>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</si>
  <si>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</si>
  <si>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</si>
  <si>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</si>
  <si>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</si>
  <si>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</si>
  <si>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</si>
  <si>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</si>
  <si>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</si>
  <si>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</si>
  <si>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</si>
  <si>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</si>
  <si>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</si>
  <si>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</si>
  <si>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</si>
  <si>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</si>
  <si>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</si>
  <si>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</si>
  <si>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</si>
  <si>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</si>
  <si>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</si>
  <si>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</si>
  <si>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</si>
  <si>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</si>
  <si>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</si>
  <si>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</si>
  <si>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</si>
  <si>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</si>
  <si>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</si>
  <si>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</si>
  <si>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</si>
  <si>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</si>
  <si>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</si>
  <si>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</si>
  <si>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</si>
  <si>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</si>
  <si>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</si>
  <si>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</si>
  <si>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</si>
  <si>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</si>
  <si>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</si>
  <si>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</si>
  <si>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</si>
  <si>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</si>
  <si>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</si>
  <si>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</si>
  <si>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</si>
  <si>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</si>
  <si>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</si>
  <si>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</si>
  <si>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</si>
  <si>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</si>
  <si>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</si>
  <si>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</si>
  <si>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</si>
  <si>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</si>
  <si>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</si>
  <si>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</si>
  <si>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</si>
  <si>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</si>
  <si>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</si>
  <si>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</si>
  <si>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</si>
  <si>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</si>
  <si>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</si>
  <si>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</si>
  <si>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</si>
  <si>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</si>
  <si>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</si>
  <si>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</si>
  <si>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</si>
  <si>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</si>
  <si>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</si>
  <si>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</si>
  <si>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</si>
  <si>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</si>
  <si>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</si>
  <si>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</si>
  <si>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</si>
  <si>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</si>
  <si>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</si>
  <si>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</si>
  <si>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</si>
  <si>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</si>
  <si>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</si>
  <si>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</si>
  <si>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</si>
  <si>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</si>
  <si>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</si>
  <si>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</si>
  <si>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</si>
  <si>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</si>
  <si>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</si>
  <si>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</si>
  <si>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</si>
  <si>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</si>
  <si>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</si>
  <si>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</si>
  <si>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</si>
  <si>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</si>
  <si>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</si>
  <si>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</si>
  <si>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</si>
  <si>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</si>
  <si>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</si>
  <si>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</si>
  <si>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</si>
  <si>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</si>
  <si>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</si>
  <si>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</si>
  <si>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</si>
  <si>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</si>
  <si>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</si>
  <si>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</si>
  <si>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</si>
  <si>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</si>
  <si>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</si>
  <si>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</si>
  <si>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</si>
  <si>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</si>
  <si>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</si>
  <si>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</si>
  <si>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</si>
  <si>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</si>
  <si>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</si>
  <si>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</si>
  <si>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</si>
  <si>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</si>
  <si>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</si>
  <si>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</si>
  <si>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</si>
  <si>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</si>
  <si>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</si>
  <si>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</si>
  <si>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</si>
  <si>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</si>
  <si>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</si>
  <si>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</si>
  <si>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</si>
  <si>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</si>
  <si>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</si>
  <si>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</si>
  <si>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</si>
  <si>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</si>
  <si>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</si>
  <si>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</si>
  <si>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</si>
  <si>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</si>
  <si>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</si>
  <si>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</si>
  <si>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</si>
  <si>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</si>
  <si>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</si>
  <si>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</si>
  <si>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</si>
  <si>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</si>
  <si>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</si>
  <si>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</si>
  <si>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</si>
  <si>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</si>
  <si>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</si>
  <si>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</si>
  <si>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</si>
  <si>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</si>
  <si>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</si>
  <si>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</si>
  <si>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</si>
  <si>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</si>
  <si>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</si>
  <si>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</si>
  <si>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</si>
  <si>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</si>
  <si>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</si>
  <si>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</si>
  <si>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</si>
  <si>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</si>
  <si>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</si>
  <si>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</si>
  <si>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</si>
  <si>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</si>
  <si>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</si>
  <si>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</si>
  <si>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</si>
  <si>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</si>
  <si>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</si>
  <si>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</si>
  <si>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</si>
  <si>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</si>
  <si>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</si>
  <si>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</si>
  <si>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</si>
  <si>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</si>
  <si>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</si>
  <si>
    <t>cash</t>
  </si>
  <si>
    <t>upi</t>
  </si>
  <si>
    <t>Row Labels</t>
  </si>
  <si>
    <t>(blank)</t>
  </si>
  <si>
    <t>Grand Total</t>
  </si>
  <si>
    <t>Sum of Units Sold</t>
  </si>
  <si>
    <t>date</t>
  </si>
  <si>
    <t>today</t>
  </si>
  <si>
    <t>now</t>
  </si>
  <si>
    <t>day</t>
  </si>
  <si>
    <t>IF</t>
  </si>
  <si>
    <t>IFS</t>
  </si>
  <si>
    <t>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</si>
</sst>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- 30 - Mobile Sales Data.xlsx]Sheet3!PivotTable1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Sheet3!$A$2:$A$22</c:f>
              <c:strCache>
                <c:ptCount val="20"/>
                <c:pt idx="0">
                  <c:v>Bangalore</c:v>
                </c:pt>
                <c:pt idx="1">
                  <c:v>Bhopal</c:v>
                </c:pt>
                <c:pt idx="2">
                  <c:v>Chennai</c:v>
                </c:pt>
                <c:pt idx="3">
                  <c:v>Coimbatore</c:v>
                </c:pt>
                <c:pt idx="4">
                  <c:v>Delhi</c:v>
                </c:pt>
                <c:pt idx="5">
                  <c:v>Gorakhpur</c:v>
                </c:pt>
                <c:pt idx="6">
                  <c:v>Hyderabad</c:v>
                </c:pt>
                <c:pt idx="7">
                  <c:v>Indore</c:v>
                </c:pt>
                <c:pt idx="8">
                  <c:v>Jodhpur</c:v>
                </c:pt>
                <c:pt idx="9">
                  <c:v>Kanpur</c:v>
                </c:pt>
                <c:pt idx="10">
                  <c:v>Kolkata</c:v>
                </c:pt>
                <c:pt idx="11">
                  <c:v>Lucknow</c:v>
                </c:pt>
                <c:pt idx="12">
                  <c:v>Ludhiana</c:v>
                </c:pt>
                <c:pt idx="13">
                  <c:v>Madurai</c:v>
                </c:pt>
                <c:pt idx="14">
                  <c:v>Mumbai</c:v>
                </c:pt>
                <c:pt idx="15">
                  <c:v>Patna</c:v>
                </c:pt>
                <c:pt idx="16">
                  <c:v>Rajkot</c:v>
                </c:pt>
                <c:pt idx="17">
                  <c:v>Ranchi</c:v>
                </c:pt>
                <c:pt idx="18">
                  <c:v>Vadodara</c:v>
                </c:pt>
                <c:pt idx="19">
                  <c:v>(blank)</c:v>
                </c:pt>
              </c:strCache>
            </c:strRef>
          </c:cat>
          <c:val>
            <c:numRef>
              <c:f>Sheet3!$B$2:$B$22</c:f>
              <c:numCache>
                <c:formatCode>General</c:formatCode>
                <c:ptCount val="20"/>
                <c:pt idx="0">
                  <c:v>651</c:v>
                </c:pt>
                <c:pt idx="1">
                  <c:v>634</c:v>
                </c:pt>
                <c:pt idx="2">
                  <c:v>715</c:v>
                </c:pt>
                <c:pt idx="3">
                  <c:v>611</c:v>
                </c:pt>
                <c:pt idx="4">
                  <c:v>5078</c:v>
                </c:pt>
                <c:pt idx="5">
                  <c:v>653</c:v>
                </c:pt>
                <c:pt idx="6">
                  <c:v>636</c:v>
                </c:pt>
                <c:pt idx="7">
                  <c:v>655</c:v>
                </c:pt>
                <c:pt idx="8">
                  <c:v>677</c:v>
                </c:pt>
                <c:pt idx="9">
                  <c:v>589</c:v>
                </c:pt>
                <c:pt idx="10">
                  <c:v>597</c:v>
                </c:pt>
                <c:pt idx="11">
                  <c:v>673</c:v>
                </c:pt>
                <c:pt idx="12">
                  <c:v>608</c:v>
                </c:pt>
                <c:pt idx="13">
                  <c:v>633</c:v>
                </c:pt>
                <c:pt idx="14">
                  <c:v>3207</c:v>
                </c:pt>
                <c:pt idx="15">
                  <c:v>555</c:v>
                </c:pt>
                <c:pt idx="16">
                  <c:v>643</c:v>
                </c:pt>
                <c:pt idx="17">
                  <c:v>761</c:v>
                </c:pt>
                <c:pt idx="18">
                  <c:v>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EA-4040-9CE4-C4363EE8D5D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664019599"/>
        <c:axId val="664019119"/>
      </c:barChart>
      <c:catAx>
        <c:axId val="66401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019119"/>
        <c:crosses val="autoZero"/>
        <c:auto val="1"/>
        <c:lblAlgn val="ctr"/>
        <c:lblOffset val="100"/>
        <c:noMultiLvlLbl val="0"/>
      </c:catAx>
      <c:valAx>
        <c:axId val="664019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019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7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Sheet2!$G$7</c:f>
              <c:strCache>
                <c:ptCount val="1"/>
                <c:pt idx="0">
                  <c:v>Units Sold</c:v>
                </c:pt>
              </c:strCache>
            </c:strRef>
          </c:tx>
          <c:spPr>
            <a:effectLst>
              <a:outerShdw blurRad="101600" dist="381000" dir="6600000" algn="ctr" rotWithShape="0">
                <a:srgbClr val="000000">
                  <a:alpha val="98000"/>
                </a:srgbClr>
              </a:outerShdw>
            </a:effectLst>
          </c:spPr>
          <c:explosion val="1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>
                <a:outerShdw blurRad="101600" dist="381000" dir="6600000" algn="ctr" rotWithShape="0">
                  <a:srgbClr val="000000">
                    <a:alpha val="98000"/>
                  </a:srgbClr>
                </a:outerShdw>
              </a:effectLst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>
                <a:outerShdw blurRad="101600" dist="381000" dir="6600000" algn="ctr" rotWithShape="0">
                  <a:srgbClr val="000000">
                    <a:alpha val="98000"/>
                  </a:srgbClr>
                </a:outerShdw>
              </a:effectLst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>
                <a:outerShdw blurRad="101600" dist="381000" dir="6600000" algn="ctr" rotWithShape="0">
                  <a:srgbClr val="000000">
                    <a:alpha val="98000"/>
                  </a:srgbClr>
                </a:outerShdw>
              </a:effectLst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>
                <a:outerShdw blurRad="101600" dist="381000" dir="6600000" algn="ctr" rotWithShape="0">
                  <a:srgbClr val="000000">
                    <a:alpha val="98000"/>
                  </a:srgbClr>
                </a:outerShdw>
              </a:effectLst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>
                <a:outerShdw blurRad="101600" dist="381000" dir="6600000" algn="ctr" rotWithShape="0">
                  <a:srgbClr val="000000">
                    <a:alpha val="98000"/>
                  </a:srgbClr>
                </a:outerShdw>
              </a:effectLst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>
                <a:outerShdw blurRad="101600" dist="381000" dir="6600000" algn="ctr" rotWithShape="0">
                  <a:srgbClr val="000000">
                    <a:alpha val="98000"/>
                  </a:srgbClr>
                </a:outerShdw>
              </a:effectLst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>
                <a:outerShdw blurRad="101600" dist="381000" dir="6600000" algn="ctr" rotWithShape="0">
                  <a:srgbClr val="000000">
                    <a:alpha val="98000"/>
                  </a:srgbClr>
                </a:outerShdw>
              </a:effectLst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>
                <a:outerShdw blurRad="101600" dist="381000" dir="6600000" algn="ctr" rotWithShape="0">
                  <a:srgbClr val="000000">
                    <a:alpha val="98000"/>
                  </a:srgbClr>
                </a:outerShdw>
              </a:effectLst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>
                <a:outerShdw blurRad="101600" dist="381000" dir="6600000" algn="ctr" rotWithShape="0">
                  <a:srgbClr val="000000">
                    <a:alpha val="98000"/>
                  </a:srgbClr>
                </a:outerShdw>
              </a:effectLst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Sheet2!$F$8:$F$28</c:f>
              <c:strCache>
                <c:ptCount val="9"/>
                <c:pt idx="0">
                  <c:v>Xiaomi</c:v>
                </c:pt>
                <c:pt idx="1">
                  <c:v>Vivo</c:v>
                </c:pt>
                <c:pt idx="2">
                  <c:v>Samsung</c:v>
                </c:pt>
                <c:pt idx="3">
                  <c:v>OnePlus</c:v>
                </c:pt>
                <c:pt idx="4">
                  <c:v>Vivo</c:v>
                </c:pt>
                <c:pt idx="5">
                  <c:v>Apple</c:v>
                </c:pt>
                <c:pt idx="6">
                  <c:v>Vivo</c:v>
                </c:pt>
                <c:pt idx="7">
                  <c:v>OnePlus</c:v>
                </c:pt>
                <c:pt idx="8">
                  <c:v>Xiaomi</c:v>
                </c:pt>
              </c:strCache>
            </c:strRef>
          </c:cat>
          <c:val>
            <c:numRef>
              <c:f>Sheet2!$G$8:$G$28</c:f>
              <c:numCache>
                <c:formatCode>General</c:formatCode>
                <c:ptCount val="9"/>
                <c:pt idx="0">
                  <c:v>6</c:v>
                </c:pt>
                <c:pt idx="1">
                  <c:v>8</c:v>
                </c:pt>
                <c:pt idx="2">
                  <c:v>3</c:v>
                </c:pt>
                <c:pt idx="3">
                  <c:v>6</c:v>
                </c:pt>
                <c:pt idx="4">
                  <c:v>6</c:v>
                </c:pt>
                <c:pt idx="5">
                  <c:v>7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F-444F-A39E-92A371FB7B0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Sheet2!$G$7</c:f>
              <c:strCache>
                <c:ptCount val="1"/>
                <c:pt idx="0">
                  <c:v>Units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Sheet2!$F$8:$F$28</c:f>
              <c:strCache>
                <c:ptCount val="9"/>
                <c:pt idx="0">
                  <c:v>Xiaomi</c:v>
                </c:pt>
                <c:pt idx="1">
                  <c:v>Vivo</c:v>
                </c:pt>
                <c:pt idx="2">
                  <c:v>Samsung</c:v>
                </c:pt>
                <c:pt idx="3">
                  <c:v>OnePlus</c:v>
                </c:pt>
                <c:pt idx="4">
                  <c:v>Vivo</c:v>
                </c:pt>
                <c:pt idx="5">
                  <c:v>Apple</c:v>
                </c:pt>
                <c:pt idx="6">
                  <c:v>Vivo</c:v>
                </c:pt>
                <c:pt idx="7">
                  <c:v>OnePlus</c:v>
                </c:pt>
                <c:pt idx="8">
                  <c:v>Xiaomi</c:v>
                </c:pt>
              </c:strCache>
            </c:strRef>
          </c:cat>
          <c:val>
            <c:numRef>
              <c:f>Sheet2!$G$8:$G$28</c:f>
              <c:numCache>
                <c:formatCode>General</c:formatCode>
                <c:ptCount val="9"/>
                <c:pt idx="0">
                  <c:v>6</c:v>
                </c:pt>
                <c:pt idx="1">
                  <c:v>8</c:v>
                </c:pt>
                <c:pt idx="2">
                  <c:v>3</c:v>
                </c:pt>
                <c:pt idx="3">
                  <c:v>6</c:v>
                </c:pt>
                <c:pt idx="4">
                  <c:v>6</c:v>
                </c:pt>
                <c:pt idx="5">
                  <c:v>7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87-42E0-B131-A54C1CC69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5793087"/>
        <c:axId val="735794527"/>
      </c:lineChart>
      <c:catAx>
        <c:axId val="73579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94527"/>
        <c:crosses val="autoZero"/>
        <c:auto val="1"/>
        <c:lblAlgn val="ctr"/>
        <c:lblOffset val="100"/>
        <c:noMultiLvlLbl val="0"/>
      </c:catAx>
      <c:valAx>
        <c:axId val="73579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9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Sheet2!$G$7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Sheet2!$F$8:$F$28</c:f>
              <c:strCache>
                <c:ptCount val="9"/>
                <c:pt idx="0">
                  <c:v>Xiaomi</c:v>
                </c:pt>
                <c:pt idx="1">
                  <c:v>Vivo</c:v>
                </c:pt>
                <c:pt idx="2">
                  <c:v>Samsung</c:v>
                </c:pt>
                <c:pt idx="3">
                  <c:v>OnePlus</c:v>
                </c:pt>
                <c:pt idx="4">
                  <c:v>Vivo</c:v>
                </c:pt>
                <c:pt idx="5">
                  <c:v>Apple</c:v>
                </c:pt>
                <c:pt idx="6">
                  <c:v>Vivo</c:v>
                </c:pt>
                <c:pt idx="7">
                  <c:v>OnePlus</c:v>
                </c:pt>
                <c:pt idx="8">
                  <c:v>Xiaomi</c:v>
                </c:pt>
              </c:strCache>
            </c:strRef>
          </c:cat>
          <c:val>
            <c:numRef>
              <c:f>Sheet2!$G$8:$G$28</c:f>
              <c:numCache>
                <c:formatCode>General</c:formatCode>
                <c:ptCount val="9"/>
                <c:pt idx="0">
                  <c:v>6</c:v>
                </c:pt>
                <c:pt idx="1">
                  <c:v>8</c:v>
                </c:pt>
                <c:pt idx="2">
                  <c:v>3</c:v>
                </c:pt>
                <c:pt idx="3">
                  <c:v>6</c:v>
                </c:pt>
                <c:pt idx="4">
                  <c:v>6</c:v>
                </c:pt>
                <c:pt idx="5">
                  <c:v>7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D-49BE-97F4-6C9B17B21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934495"/>
        <c:axId val="1208938815"/>
        <c:axId val="0"/>
      </c:area3DChart>
      <c:catAx>
        <c:axId val="1208934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938815"/>
        <c:crosses val="autoZero"/>
        <c:auto val="1"/>
        <c:lblAlgn val="ctr"/>
        <c:lblOffset val="100"/>
        <c:noMultiLvlLbl val="0"/>
      </c:catAx>
      <c:valAx>
        <c:axId val="120893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934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Sheet2!$G$7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Sheet2!$F$8:$F$28</c:f>
              <c:strCache>
                <c:ptCount val="9"/>
                <c:pt idx="0">
                  <c:v>Xiaomi</c:v>
                </c:pt>
                <c:pt idx="1">
                  <c:v>Vivo</c:v>
                </c:pt>
                <c:pt idx="2">
                  <c:v>Samsung</c:v>
                </c:pt>
                <c:pt idx="3">
                  <c:v>OnePlus</c:v>
                </c:pt>
                <c:pt idx="4">
                  <c:v>Vivo</c:v>
                </c:pt>
                <c:pt idx="5">
                  <c:v>Apple</c:v>
                </c:pt>
                <c:pt idx="6">
                  <c:v>Vivo</c:v>
                </c:pt>
                <c:pt idx="7">
                  <c:v>OnePlus</c:v>
                </c:pt>
                <c:pt idx="8">
                  <c:v>Xiaomi</c:v>
                </c:pt>
              </c:strCache>
            </c:strRef>
          </c:cat>
          <c:val>
            <c:numRef>
              <c:f>Sheet2!$G$8:$G$28</c:f>
              <c:numCache>
                <c:formatCode>General</c:formatCode>
                <c:ptCount val="9"/>
                <c:pt idx="0">
                  <c:v>6</c:v>
                </c:pt>
                <c:pt idx="1">
                  <c:v>8</c:v>
                </c:pt>
                <c:pt idx="2">
                  <c:v>3</c:v>
                </c:pt>
                <c:pt idx="3">
                  <c:v>6</c:v>
                </c:pt>
                <c:pt idx="4">
                  <c:v>6</c:v>
                </c:pt>
                <c:pt idx="5">
                  <c:v>7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D-4C5D-9C5F-5C2C1CC19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92571999"/>
        <c:axId val="992573919"/>
        <c:axId val="585603311"/>
      </c:bar3DChart>
      <c:catAx>
        <c:axId val="99257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573919"/>
        <c:crosses val="autoZero"/>
        <c:auto val="1"/>
        <c:lblAlgn val="ctr"/>
        <c:lblOffset val="100"/>
        <c:noMultiLvlLbl val="0"/>
      </c:catAx>
      <c:valAx>
        <c:axId val="99257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571999"/>
        <c:crosses val="autoZero"/>
        <c:crossBetween val="between"/>
      </c:valAx>
      <c:serAx>
        <c:axId val="585603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573919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180974</xdr:rowOff>
    </xdr:from>
    <xdr:to>
      <xdr:col>13</xdr:col>
      <xdr:colOff>133350</xdr:colOff>
      <xdr:row>24</xdr:row>
      <xdr:rowOff>90488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8B0203-FD9C-C2F4-D6E3-CAF53CA52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245269</xdr:colOff>
      <xdr:row>28</xdr:row>
      <xdr:rowOff>138113</xdr:rowOff>
    </xdr:from>
    <xdr:to>
      <xdr:col>7</xdr:col>
      <xdr:colOff>54769</xdr:colOff>
      <xdr:row>43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12F44D-F47A-7E86-1580-FBDBF040F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202406</xdr:colOff>
      <xdr:row>28</xdr:row>
      <xdr:rowOff>157162</xdr:rowOff>
    </xdr:from>
    <xdr:to>
      <xdr:col>12</xdr:col>
      <xdr:colOff>335756</xdr:colOff>
      <xdr:row>44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67B738-5A46-E5F2-D3D9-D640A4843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221456</xdr:colOff>
      <xdr:row>44</xdr:row>
      <xdr:rowOff>128587</xdr:rowOff>
    </xdr:from>
    <xdr:to>
      <xdr:col>12</xdr:col>
      <xdr:colOff>354806</xdr:colOff>
      <xdr:row>59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2D70CD-0FD9-3C86-7A2C-3D2902792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264318</xdr:colOff>
      <xdr:row>44</xdr:row>
      <xdr:rowOff>128588</xdr:rowOff>
    </xdr:from>
    <xdr:to>
      <xdr:col>7</xdr:col>
      <xdr:colOff>73818</xdr:colOff>
      <xdr:row>59</xdr:row>
      <xdr:rowOff>157163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89543A-2035-71F0-11DB-1D6D7FBA2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SHAV SINGH" refreshedDate="45828.50568425926" createdVersion="8" refreshedVersion="8" minRefreshableVersion="3" recordCount="3836" xr:uid="{F99B9310-F010-413A-8CB0-D72D891012E9}">
  <cacheSource type="worksheet">
    <worksheetSource ref="A1:N3837" sheet="Sheet1"/>
  </cacheSource>
  <cacheFields count="14">
    <cacheField name="Transaction ID" numFmtId="0">
      <sharedItems containsSemiMixedTypes="0" containsString="0" containsNumber="1" containsInteger="1" minValue="1" maxValue="3835"/>
    </cacheField>
    <cacheField name="Day" numFmtId="0">
      <sharedItems containsString="0" containsBlank="1" containsNumber="1" containsInteger="1" minValue="1" maxValue="31"/>
    </cacheField>
    <cacheField name="Month" numFmtId="0">
      <sharedItems containsString="0" containsBlank="1" containsNumber="1" containsInteger="1" minValue="1" maxValue="12"/>
    </cacheField>
    <cacheField name="Year" numFmtId="0">
      <sharedItems containsString="0" containsBlank="1" containsNumber="1" containsInteger="1" minValue="2021" maxValue="2024"/>
    </cacheField>
    <cacheField name="Day Name" numFmtId="0">
      <sharedItems containsBlank="1"/>
    </cacheField>
    <cacheField name="Brand" numFmtId="0">
      <sharedItems containsBlank="1" count="6">
        <s v="Xiaomi"/>
        <s v="Vivo"/>
        <s v="OnePlus"/>
        <s v="Samsung"/>
        <s v="Apple"/>
        <m/>
      </sharedItems>
    </cacheField>
    <cacheField name="Units Sold" numFmtId="0">
      <sharedItems containsString="0" containsBlank="1" containsNumber="1" containsInteger="1" minValue="1" maxValue="9"/>
    </cacheField>
    <cacheField name="Price Per Unit" numFmtId="0">
      <sharedItems containsString="0" containsBlank="1" containsNumber="1" minValue="10011.11" maxValue="69984.479999999996"/>
    </cacheField>
    <cacheField name="Customer Name" numFmtId="0">
      <sharedItems containsBlank="1"/>
    </cacheField>
    <cacheField name="Customer Age" numFmtId="0">
      <sharedItems containsString="0" containsBlank="1" containsNumber="1" containsInteger="1" minValue="18" maxValue="59"/>
    </cacheField>
    <cacheField name="City" numFmtId="0">
      <sharedItems containsBlank="1" count="20">
        <s v="Ludhiana"/>
        <s v="Delhi"/>
        <s v="Mumbai"/>
        <s v="Gorakhpur"/>
        <s v="Jodhpur"/>
        <s v="Vadodara"/>
        <s v="Madurai"/>
        <s v="Hyderabad"/>
        <s v="Chennai"/>
        <s v="Coimbatore"/>
        <s v="Kolkata"/>
        <s v="Rajkot"/>
        <s v="Kanpur"/>
        <s v="Bhopal"/>
        <s v="Ranchi"/>
        <s v="Lucknow"/>
        <s v="Indore"/>
        <s v="Patna"/>
        <s v="Bangalore"/>
        <m/>
      </sharedItems>
    </cacheField>
    <cacheField name="Payment Method" numFmtId="0">
      <sharedItems containsBlank="1"/>
    </cacheField>
    <cacheField name="Customer Ratings" numFmtId="0">
      <sharedItems containsString="0" containsBlank="1" containsNumber="1" containsInteger="1" minValue="1" maxValue="5"/>
    </cacheField>
    <cacheField name="Mobile Mode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36">
  <r>
    <n v="1"/>
    <n v="9"/>
    <n v="10"/>
    <n v="2021"/>
    <s v="Sat"/>
    <x v="0"/>
    <n v="6"/>
    <n v="10174.700000000001"/>
    <s v="Lalita Ahuja"/>
    <n v="38"/>
    <x v="0"/>
    <s v="UPI"/>
    <n v="5"/>
    <s v="Redmi Note 10"/>
  </r>
  <r>
    <n v="2"/>
    <n v="9"/>
    <n v="10"/>
    <n v="2021"/>
    <s v="Saturday"/>
    <x v="1"/>
    <n v="6"/>
    <n v="10565.19"/>
    <s v="Sneha Sharma"/>
    <n v="37"/>
    <x v="1"/>
    <s v="Credit Card"/>
    <n v="3"/>
    <s v="Vivo Y51"/>
  </r>
  <r>
    <n v="3"/>
    <n v="9"/>
    <n v="10"/>
    <n v="2021"/>
    <s v="Saturday"/>
    <x v="1"/>
    <n v="8"/>
    <n v="58527.58"/>
    <s v="Radha Srivastava"/>
    <n v="40"/>
    <x v="2"/>
    <s v="UPI"/>
    <n v="5"/>
    <s v="Vivo S1"/>
  </r>
  <r>
    <n v="4"/>
    <n v="10"/>
    <n v="10"/>
    <n v="2021"/>
    <s v="Sunday"/>
    <x v="0"/>
    <n v="5"/>
    <n v="25563.98"/>
    <s v="Bhavana Arora"/>
    <n v="21"/>
    <x v="2"/>
    <s v="Credit Card"/>
    <n v="4"/>
    <s v="Mi 11"/>
  </r>
  <r>
    <n v="5"/>
    <n v="10"/>
    <n v="10"/>
    <n v="2021"/>
    <s v="Sunday"/>
    <x v="2"/>
    <n v="3"/>
    <n v="48168.02"/>
    <s v="Sneha Mehta"/>
    <n v="38"/>
    <x v="3"/>
    <s v="Cash"/>
    <n v="5"/>
    <s v="OnePlus 9"/>
  </r>
  <r>
    <n v="6"/>
    <n v="10"/>
    <n v="10"/>
    <n v="2021"/>
    <s v="Sunday"/>
    <x v="3"/>
    <n v="3"/>
    <n v="37252.870000000003"/>
    <s v="Reena Mehta"/>
    <n v="38"/>
    <x v="4"/>
    <s v="UPI"/>
    <n v="3"/>
    <s v="Galaxy Note 20"/>
  </r>
  <r>
    <n v="7"/>
    <n v="10"/>
    <n v="10"/>
    <n v="2021"/>
    <s v="Sun"/>
    <x v="2"/>
    <n v="6"/>
    <n v="61805.8"/>
    <s v="Pankaj Alva"/>
    <n v="18"/>
    <x v="1"/>
    <s v="Cash"/>
    <n v="4"/>
    <s v="OnePlus Nord"/>
  </r>
  <r>
    <n v="8"/>
    <n v="11"/>
    <n v="10"/>
    <n v="2021"/>
    <s v="Monday"/>
    <x v="4"/>
    <n v="2"/>
    <n v="65017.67"/>
    <s v="Mala Rawat"/>
    <n v="32"/>
    <x v="5"/>
    <s v="Cash"/>
    <n v="3"/>
    <s v="iPhone 12"/>
  </r>
  <r>
    <n v="9"/>
    <n v="11"/>
    <n v="10"/>
    <n v="2021"/>
    <s v="Mon"/>
    <x v="1"/>
    <n v="6"/>
    <n v="69808.460000000006"/>
    <s v="Pankaj Varma"/>
    <n v="34"/>
    <x v="1"/>
    <s v="UPI"/>
    <n v="5"/>
    <s v="Vivo Y51"/>
  </r>
  <r>
    <n v="10"/>
    <n v="11"/>
    <n v="10"/>
    <n v="2021"/>
    <s v="Monday"/>
    <x v="3"/>
    <n v="6"/>
    <n v="19221.05"/>
    <s v="Yogesh Sharma"/>
    <n v="31"/>
    <x v="2"/>
    <s v="Debit Card"/>
    <n v="2"/>
    <s v="Galaxy A51"/>
  </r>
  <r>
    <n v="11"/>
    <n v="12"/>
    <n v="10"/>
    <n v="2021"/>
    <s v="Tuesday"/>
    <x v="3"/>
    <n v="8"/>
    <n v="61777.84"/>
    <s v="Radha Sharma"/>
    <n v="36"/>
    <x v="6"/>
    <s v="Credit Card"/>
    <n v="5"/>
    <s v="Galaxy A51"/>
  </r>
  <r>
    <n v="12"/>
    <n v="12"/>
    <n v="10"/>
    <n v="2021"/>
    <s v="Tuesday"/>
    <x v="4"/>
    <n v="7"/>
    <n v="25961.279999999999"/>
    <s v="Namita Roy"/>
    <n v="51"/>
    <x v="1"/>
    <s v="UPI"/>
    <n v="4"/>
    <s v="iPhone 12"/>
  </r>
  <r>
    <n v="13"/>
    <n v="12"/>
    <n v="10"/>
    <n v="2021"/>
    <s v="Tuesday"/>
    <x v="4"/>
    <n v="8"/>
    <n v="45448.95"/>
    <s v="Ramesh Joshi"/>
    <n v="23"/>
    <x v="2"/>
    <s v="Cash"/>
    <n v="5"/>
    <s v="iPhone 12"/>
  </r>
  <r>
    <n v="14"/>
    <n v="13"/>
    <n v="10"/>
    <n v="2021"/>
    <s v="Wed"/>
    <x v="0"/>
    <n v="9"/>
    <n v="40346.370000000003"/>
    <s v="Arun Iyer"/>
    <n v="23"/>
    <x v="7"/>
    <s v="Credit Card"/>
    <n v="2"/>
    <s v="Redmi Note 10"/>
  </r>
  <r>
    <n v="15"/>
    <n v="13"/>
    <n v="10"/>
    <n v="2021"/>
    <s v="Wednesday"/>
    <x v="1"/>
    <n v="6"/>
    <n v="11079.29"/>
    <s v="Manoj Siddiqui"/>
    <n v="22"/>
    <x v="8"/>
    <s v="Cash"/>
    <n v="5"/>
    <s v="Vivo V20"/>
  </r>
  <r>
    <n v="16"/>
    <n v="13"/>
    <n v="10"/>
    <n v="2021"/>
    <s v="Wednesday"/>
    <x v="1"/>
    <n v="3"/>
    <n v="65966.28"/>
    <s v="Anjali Gupta"/>
    <n v="24"/>
    <x v="2"/>
    <s v="Credit Card"/>
    <n v="2"/>
    <s v="Vivo Y51"/>
  </r>
  <r>
    <n v="17"/>
    <n v="14"/>
    <n v="10"/>
    <n v="2021"/>
    <s v="Thursday"/>
    <x v="2"/>
    <n v="3"/>
    <n v="14699.62"/>
    <s v="Ramesh Rao"/>
    <n v="50"/>
    <x v="9"/>
    <s v="UPI"/>
    <n v="4"/>
    <s v="OnePlus Nord"/>
  </r>
  <r>
    <n v="18"/>
    <n v="14"/>
    <n v="10"/>
    <n v="2021"/>
    <s v="Thu"/>
    <x v="0"/>
    <n v="1"/>
    <n v="51293.14"/>
    <s v="Anand Pillai"/>
    <n v="30"/>
    <x v="1"/>
    <s v="Cash"/>
    <n v="3"/>
    <s v="Redmi Note 10"/>
  </r>
  <r>
    <n v="19"/>
    <n v="14"/>
    <n v="10"/>
    <n v="2021"/>
    <s v="Thursday"/>
    <x v="0"/>
    <n v="5"/>
    <n v="57100.41"/>
    <s v="Kiran Rawat"/>
    <n v="18"/>
    <x v="2"/>
    <s v="Credit Card"/>
    <n v="4"/>
    <s v="Redmi Note 10"/>
  </r>
  <r>
    <n v="20"/>
    <n v="14"/>
    <n v="10"/>
    <n v="2021"/>
    <s v="Thursday"/>
    <x v="0"/>
    <n v="4"/>
    <n v="57717.27"/>
    <s v="Harish Kaur"/>
    <n v="30"/>
    <x v="2"/>
    <s v="Credit Card"/>
    <n v="5"/>
    <s v="Redmi Note 10"/>
  </r>
  <r>
    <n v="21"/>
    <n v="15"/>
    <n v="10"/>
    <n v="2021"/>
    <s v="Friday"/>
    <x v="0"/>
    <n v="9"/>
    <n v="18129.669999999998"/>
    <s v="Manoj Luthra"/>
    <n v="44"/>
    <x v="9"/>
    <s v="UPI"/>
    <n v="4"/>
    <s v="Mi 11"/>
  </r>
  <r>
    <n v="22"/>
    <n v="15"/>
    <n v="10"/>
    <n v="2021"/>
    <s v="Friday"/>
    <x v="1"/>
    <n v="9"/>
    <n v="36854.199999999997"/>
    <s v="Jyoti Roy"/>
    <n v="24"/>
    <x v="5"/>
    <s v="Credit Card"/>
    <n v="5"/>
    <s v="Vivo S1"/>
  </r>
  <r>
    <n v="23"/>
    <n v="15"/>
    <n v="10"/>
    <n v="2021"/>
    <s v="Fri"/>
    <x v="1"/>
    <n v="5"/>
    <n v="59765.73"/>
    <s v="Rajesh Sheth"/>
    <n v="20"/>
    <x v="10"/>
    <s v="Credit Card"/>
    <n v="5"/>
    <s v="Vivo S1"/>
  </r>
  <r>
    <n v="24"/>
    <n v="16"/>
    <n v="10"/>
    <n v="2021"/>
    <s v="Saturday"/>
    <x v="0"/>
    <n v="4"/>
    <n v="28160.75"/>
    <s v="Mala Ghosh"/>
    <n v="42"/>
    <x v="2"/>
    <s v="Cash"/>
    <n v="5"/>
    <s v="Redmi Note 10"/>
  </r>
  <r>
    <n v="25"/>
    <n v="16"/>
    <n v="10"/>
    <n v="2021"/>
    <s v="Saturday"/>
    <x v="2"/>
    <n v="7"/>
    <n v="38064.92"/>
    <s v="Reena Teja"/>
    <n v="50"/>
    <x v="1"/>
    <s v="UPI"/>
    <n v="2"/>
    <s v="OnePlus Nord"/>
  </r>
  <r>
    <n v="26"/>
    <n v="16"/>
    <n v="10"/>
    <n v="2021"/>
    <s v="Saturday"/>
    <x v="3"/>
    <n v="6"/>
    <n v="26367.63"/>
    <s v="Bhavana Dutta"/>
    <n v="57"/>
    <x v="1"/>
    <s v="UPI"/>
    <n v="5"/>
    <s v="Galaxy Note 20"/>
  </r>
  <r>
    <n v="27"/>
    <n v="17"/>
    <n v="10"/>
    <n v="2021"/>
    <s v="Sunday"/>
    <x v="3"/>
    <n v="4"/>
    <n v="37813.089999999997"/>
    <s v="Yogesh Ahuja"/>
    <n v="34"/>
    <x v="1"/>
    <s v="Cash"/>
    <n v="4"/>
    <s v="Galaxy A51"/>
  </r>
  <r>
    <n v="28"/>
    <n v="17"/>
    <n v="10"/>
    <n v="2021"/>
    <s v="Sunday"/>
    <x v="2"/>
    <n v="2"/>
    <n v="63270.28"/>
    <s v="Isha Desai"/>
    <n v="31"/>
    <x v="5"/>
    <s v="Debit Card"/>
    <n v="4"/>
    <s v="OnePlus 9"/>
  </r>
  <r>
    <n v="29"/>
    <n v="17"/>
    <n v="10"/>
    <n v="2021"/>
    <s v="Sunday"/>
    <x v="0"/>
    <n v="1"/>
    <n v="37307.449999999997"/>
    <s v="Tapan Shah"/>
    <n v="54"/>
    <x v="1"/>
    <s v="Cash"/>
    <n v="4"/>
    <s v="Redmi 9"/>
  </r>
  <r>
    <n v="30"/>
    <n v="18"/>
    <n v="10"/>
    <n v="2021"/>
    <s v="Mon"/>
    <x v="1"/>
    <n v="4"/>
    <n v="43354.720000000001"/>
    <s v="Vinod Pathak"/>
    <n v="40"/>
    <x v="1"/>
    <s v="Cash"/>
    <n v="5"/>
    <s v="Vivo Y51"/>
  </r>
  <r>
    <n v="31"/>
    <n v="18"/>
    <n v="10"/>
    <n v="2021"/>
    <s v="Monday"/>
    <x v="3"/>
    <n v="4"/>
    <n v="34238.58"/>
    <s v="Bhavana Siddiqui"/>
    <n v="41"/>
    <x v="0"/>
    <s v="Debit Card"/>
    <n v="2"/>
    <s v="Galaxy Note 20"/>
  </r>
  <r>
    <n v="32"/>
    <n v="18"/>
    <n v="10"/>
    <n v="2021"/>
    <s v="Monday"/>
    <x v="4"/>
    <n v="1"/>
    <n v="37607.03"/>
    <s v="Meena Mathur"/>
    <n v="46"/>
    <x v="2"/>
    <s v="Credit Card"/>
    <n v="5"/>
    <s v="iPhone SE"/>
  </r>
  <r>
    <n v="33"/>
    <n v="18"/>
    <n v="10"/>
    <n v="2021"/>
    <s v="Monday"/>
    <x v="4"/>
    <n v="6"/>
    <n v="10910.45"/>
    <s v="Sumit Pillai"/>
    <n v="55"/>
    <x v="11"/>
    <s v="UPI"/>
    <n v="3"/>
    <s v="iPhone SE"/>
  </r>
  <r>
    <n v="34"/>
    <n v="19"/>
    <n v="10"/>
    <n v="2021"/>
    <s v="Tuesday"/>
    <x v="2"/>
    <n v="4"/>
    <n v="27024.73"/>
    <s v="Vinod Dutta"/>
    <n v="44"/>
    <x v="2"/>
    <s v="UPI"/>
    <n v="5"/>
    <s v="OnePlus 9"/>
  </r>
  <r>
    <n v="35"/>
    <n v="19"/>
    <n v="10"/>
    <n v="2021"/>
    <s v="Tuesday"/>
    <x v="0"/>
    <n v="1"/>
    <n v="36194.9"/>
    <s v="Shruti Bhatnagar"/>
    <n v="55"/>
    <x v="12"/>
    <s v="Debit Card"/>
    <n v="4"/>
    <s v="Redmi Note 10"/>
  </r>
  <r>
    <n v="36"/>
    <n v="19"/>
    <n v="10"/>
    <n v="2021"/>
    <s v="Tuesday"/>
    <x v="3"/>
    <n v="1"/>
    <n v="48027.82"/>
    <s v="Pankaj Shah"/>
    <n v="57"/>
    <x v="10"/>
    <s v="UPI"/>
    <n v="3"/>
    <s v="Galaxy S21"/>
  </r>
  <r>
    <n v="37"/>
    <n v="20"/>
    <n v="10"/>
    <n v="2021"/>
    <s v="Wednesday"/>
    <x v="0"/>
    <n v="1"/>
    <n v="37003.120000000003"/>
    <s v="Deepika Verma"/>
    <n v="40"/>
    <x v="9"/>
    <s v="Debit Card"/>
    <n v="3"/>
    <s v="Redmi 9"/>
  </r>
  <r>
    <n v="38"/>
    <n v="20"/>
    <n v="10"/>
    <n v="2021"/>
    <s v="Wednesday"/>
    <x v="3"/>
    <n v="8"/>
    <n v="30269.02"/>
    <s v="Sanjay Joshi"/>
    <n v="48"/>
    <x v="0"/>
    <s v="Credit Card"/>
    <n v="5"/>
    <s v="Galaxy Note 20"/>
  </r>
  <r>
    <n v="39"/>
    <n v="20"/>
    <n v="10"/>
    <n v="2021"/>
    <s v="Wednesday"/>
    <x v="2"/>
    <n v="8"/>
    <n v="33285.919999999998"/>
    <s v="Umesh Goyal"/>
    <n v="53"/>
    <x v="1"/>
    <s v="Debit Card"/>
    <n v="5"/>
    <s v="OnePlus 8T"/>
  </r>
  <r>
    <n v="40"/>
    <n v="21"/>
    <n v="10"/>
    <n v="2021"/>
    <s v="Thursday"/>
    <x v="2"/>
    <n v="2"/>
    <n v="24537.599999999999"/>
    <s v="Rajesh Verma"/>
    <n v="34"/>
    <x v="1"/>
    <s v="UPI"/>
    <n v="5"/>
    <s v="OnePlus Nord"/>
  </r>
  <r>
    <n v="41"/>
    <n v="21"/>
    <n v="10"/>
    <n v="2021"/>
    <s v="Thursday"/>
    <x v="4"/>
    <n v="7"/>
    <n v="65469.66"/>
    <s v="Pooja Rao"/>
    <n v="54"/>
    <x v="1"/>
    <s v="UPI"/>
    <n v="5"/>
    <s v="iPhone 11"/>
  </r>
  <r>
    <n v="42"/>
    <n v="21"/>
    <n v="10"/>
    <n v="2021"/>
    <s v="Thursday"/>
    <x v="0"/>
    <n v="8"/>
    <n v="41304.589999999997"/>
    <s v="Jyoti Mishra"/>
    <n v="20"/>
    <x v="2"/>
    <s v="Debit Card"/>
    <n v="2"/>
    <s v="Mi 11"/>
  </r>
  <r>
    <n v="43"/>
    <n v="22"/>
    <n v="10"/>
    <n v="2021"/>
    <s v="Friday"/>
    <x v="4"/>
    <n v="8"/>
    <n v="10804.57"/>
    <s v="Sachin Desai"/>
    <n v="53"/>
    <x v="0"/>
    <s v="UPI"/>
    <n v="5"/>
    <s v="iPhone SE"/>
  </r>
  <r>
    <n v="44"/>
    <n v="22"/>
    <n v="10"/>
    <n v="2021"/>
    <s v="Friday"/>
    <x v="0"/>
    <n v="7"/>
    <n v="11166.78"/>
    <s v="Manoj Jain"/>
    <n v="22"/>
    <x v="11"/>
    <s v="Debit Card"/>
    <n v="5"/>
    <s v="Mi 11"/>
  </r>
  <r>
    <n v="45"/>
    <n v="22"/>
    <n v="10"/>
    <n v="2021"/>
    <s v="Friday"/>
    <x v="4"/>
    <n v="5"/>
    <n v="68377.7"/>
    <s v="Deepika Shah"/>
    <n v="32"/>
    <x v="8"/>
    <s v="UPI"/>
    <n v="5"/>
    <s v="iPhone SE"/>
  </r>
  <r>
    <n v="46"/>
    <n v="23"/>
    <n v="10"/>
    <n v="2021"/>
    <s v="Saturday"/>
    <x v="1"/>
    <n v="1"/>
    <n v="23287.05"/>
    <s v="Priyanka Pillai"/>
    <n v="23"/>
    <x v="6"/>
    <s v="Cash"/>
    <n v="5"/>
    <s v="Vivo V20"/>
  </r>
  <r>
    <n v="47"/>
    <n v="23"/>
    <n v="10"/>
    <n v="2021"/>
    <s v="Saturday"/>
    <x v="1"/>
    <n v="9"/>
    <n v="58336.5"/>
    <s v="Pooja Arora"/>
    <n v="27"/>
    <x v="1"/>
    <s v="Credit Card"/>
    <n v="5"/>
    <s v="Vivo Y51"/>
  </r>
  <r>
    <n v="48"/>
    <n v="23"/>
    <n v="10"/>
    <n v="2021"/>
    <s v="Saturday"/>
    <x v="1"/>
    <n v="7"/>
    <n v="13496.52"/>
    <s v="Tanuja Prasad"/>
    <n v="49"/>
    <x v="13"/>
    <s v="UPI"/>
    <n v="5"/>
    <s v="Vivo S1"/>
  </r>
  <r>
    <n v="49"/>
    <n v="23"/>
    <n v="10"/>
    <n v="2021"/>
    <s v="Sat"/>
    <x v="1"/>
    <n v="2"/>
    <n v="65269.760000000002"/>
    <s v="Monika Thakur"/>
    <n v="40"/>
    <x v="2"/>
    <s v="UPI"/>
    <n v="5"/>
    <s v="Vivo Y51"/>
  </r>
  <r>
    <n v="50"/>
    <n v="24"/>
    <n v="10"/>
    <n v="2021"/>
    <s v="Sun"/>
    <x v="3"/>
    <n v="6"/>
    <n v="62465.02"/>
    <s v="Anand Nair"/>
    <n v="34"/>
    <x v="6"/>
    <s v="UPI"/>
    <n v="2"/>
    <s v="Galaxy Note 20"/>
  </r>
  <r>
    <n v="51"/>
    <n v="24"/>
    <n v="10"/>
    <n v="2021"/>
    <s v="Sun"/>
    <x v="1"/>
    <n v="2"/>
    <n v="44265.59"/>
    <s v="Vinod Kaur"/>
    <n v="37"/>
    <x v="14"/>
    <s v="Debit Card"/>
    <n v="5"/>
    <s v="Vivo V20"/>
  </r>
  <r>
    <n v="52"/>
    <n v="24"/>
    <n v="10"/>
    <n v="2021"/>
    <s v="Sun"/>
    <x v="2"/>
    <n v="1"/>
    <n v="10539.92"/>
    <s v="Yogesh Roy"/>
    <n v="58"/>
    <x v="1"/>
    <s v="UPI"/>
    <n v="5"/>
    <s v="OnePlus Nord"/>
  </r>
  <r>
    <n v="53"/>
    <n v="25"/>
    <n v="10"/>
    <n v="2021"/>
    <s v="Mon"/>
    <x v="2"/>
    <n v="7"/>
    <n v="25468.65"/>
    <s v="Krishna Mehta"/>
    <n v="32"/>
    <x v="15"/>
    <s v="Debit Card"/>
    <n v="5"/>
    <s v="OnePlus 9"/>
  </r>
  <r>
    <n v="54"/>
    <n v="25"/>
    <n v="10"/>
    <n v="2021"/>
    <s v="Monday"/>
    <x v="3"/>
    <n v="2"/>
    <n v="34409.360000000001"/>
    <s v="Mala Malhotra"/>
    <n v="39"/>
    <x v="13"/>
    <s v="UPI"/>
    <n v="2"/>
    <s v="Galaxy Note 20"/>
  </r>
  <r>
    <n v="55"/>
    <n v="25"/>
    <n v="10"/>
    <n v="2021"/>
    <s v="Monday"/>
    <x v="1"/>
    <n v="2"/>
    <n v="37603.85"/>
    <s v="Sunita Thakur"/>
    <n v="23"/>
    <x v="2"/>
    <s v="Cash"/>
    <n v="2"/>
    <s v="Vivo Y51"/>
  </r>
  <r>
    <n v="56"/>
    <n v="25"/>
    <n v="10"/>
    <n v="2021"/>
    <s v="Monday"/>
    <x v="1"/>
    <n v="5"/>
    <n v="27860.73"/>
    <s v="Kavita Sheth"/>
    <n v="21"/>
    <x v="1"/>
    <s v="Cash"/>
    <n v="5"/>
    <s v="Vivo Y51"/>
  </r>
  <r>
    <n v="57"/>
    <n v="26"/>
    <n v="10"/>
    <n v="2021"/>
    <s v="Tuesday"/>
    <x v="1"/>
    <n v="5"/>
    <n v="11976.87"/>
    <s v="Anjali Roy"/>
    <n v="40"/>
    <x v="10"/>
    <s v="Credit Card"/>
    <n v="5"/>
    <s v="Vivo S1"/>
  </r>
  <r>
    <n v="58"/>
    <n v="26"/>
    <n v="10"/>
    <n v="2021"/>
    <s v="Tuesday"/>
    <x v="4"/>
    <n v="7"/>
    <n v="45407.64"/>
    <s v="Shruti Dutta"/>
    <n v="36"/>
    <x v="1"/>
    <s v="Debit Card"/>
    <n v="4"/>
    <s v="iPhone 12"/>
  </r>
  <r>
    <n v="59"/>
    <n v="26"/>
    <n v="10"/>
    <n v="2021"/>
    <s v="Tue"/>
    <x v="0"/>
    <n v="1"/>
    <n v="41449.279999999999"/>
    <s v="Devendra Jain"/>
    <n v="48"/>
    <x v="12"/>
    <s v="Credit Card"/>
    <n v="5"/>
    <s v="Redmi 9"/>
  </r>
  <r>
    <n v="60"/>
    <n v="26"/>
    <n v="10"/>
    <n v="2021"/>
    <s v="Tue"/>
    <x v="4"/>
    <n v="8"/>
    <n v="26980.04"/>
    <s v="Jyoti Bhattacharya"/>
    <n v="20"/>
    <x v="12"/>
    <s v="UPI"/>
    <n v="2"/>
    <s v="iPhone 11"/>
  </r>
  <r>
    <n v="61"/>
    <n v="27"/>
    <n v="10"/>
    <n v="2021"/>
    <s v="Wed"/>
    <x v="0"/>
    <n v="3"/>
    <n v="12278.56"/>
    <s v="Kavita Srivastava"/>
    <n v="45"/>
    <x v="2"/>
    <s v="UPI"/>
    <n v="4"/>
    <s v="Redmi Note 10"/>
  </r>
  <r>
    <n v="62"/>
    <n v="27"/>
    <n v="10"/>
    <n v="2021"/>
    <s v="Wed"/>
    <x v="1"/>
    <n v="4"/>
    <n v="69675.649999999994"/>
    <s v="Radha Mathur"/>
    <n v="20"/>
    <x v="6"/>
    <s v="Cash"/>
    <n v="5"/>
    <s v="Vivo Y51"/>
  </r>
  <r>
    <n v="63"/>
    <n v="27"/>
    <n v="10"/>
    <n v="2021"/>
    <s v="Wed"/>
    <x v="1"/>
    <n v="9"/>
    <n v="38919.17"/>
    <s v="Lata Shah"/>
    <n v="31"/>
    <x v="3"/>
    <s v="Credit Card"/>
    <n v="5"/>
    <s v="Vivo V20"/>
  </r>
  <r>
    <n v="64"/>
    <n v="27"/>
    <n v="10"/>
    <n v="2021"/>
    <s v="Wed"/>
    <x v="4"/>
    <n v="4"/>
    <n v="55360.25"/>
    <s v="Sumit Ghosh"/>
    <n v="35"/>
    <x v="0"/>
    <s v="UPI"/>
    <n v="4"/>
    <s v="iPhone SE"/>
  </r>
  <r>
    <n v="65"/>
    <n v="28"/>
    <n v="10"/>
    <n v="2021"/>
    <s v="Thu"/>
    <x v="4"/>
    <n v="5"/>
    <n v="37138.839999999997"/>
    <s v="Tanuja Dutta"/>
    <n v="44"/>
    <x v="12"/>
    <s v="UPI"/>
    <n v="5"/>
    <s v="iPhone SE"/>
  </r>
  <r>
    <n v="66"/>
    <n v="28"/>
    <n v="10"/>
    <n v="2021"/>
    <s v="Thu"/>
    <x v="0"/>
    <n v="7"/>
    <n v="12590.22"/>
    <s v="Ramesh Kumar"/>
    <n v="27"/>
    <x v="0"/>
    <s v="Debit Card"/>
    <n v="4"/>
    <s v="Redmi 9"/>
  </r>
  <r>
    <n v="67"/>
    <n v="28"/>
    <n v="10"/>
    <n v="2021"/>
    <s v="Thu"/>
    <x v="2"/>
    <n v="4"/>
    <n v="28576.04"/>
    <s v="Sunil Luthra"/>
    <n v="32"/>
    <x v="16"/>
    <s v="UPI"/>
    <n v="5"/>
    <s v="OnePlus Nord"/>
  </r>
  <r>
    <n v="68"/>
    <n v="29"/>
    <n v="10"/>
    <n v="2021"/>
    <s v="Fri"/>
    <x v="0"/>
    <n v="1"/>
    <n v="29206.61"/>
    <s v="Kavita Solanki"/>
    <n v="36"/>
    <x v="12"/>
    <s v="Credit Card"/>
    <n v="5"/>
    <s v="Redmi 9"/>
  </r>
  <r>
    <n v="69"/>
    <n v="29"/>
    <n v="10"/>
    <n v="2021"/>
    <s v="Fri"/>
    <x v="4"/>
    <n v="9"/>
    <n v="60301.17"/>
    <s v="Meena Thakur"/>
    <n v="26"/>
    <x v="8"/>
    <s v="Cash"/>
    <n v="5"/>
    <s v="iPhone 12"/>
  </r>
  <r>
    <n v="70"/>
    <n v="29"/>
    <n v="10"/>
    <n v="2021"/>
    <s v="Friday"/>
    <x v="4"/>
    <n v="4"/>
    <n v="49253.8"/>
    <s v="Pooja Reddy"/>
    <n v="21"/>
    <x v="1"/>
    <s v="Cash"/>
    <n v="5"/>
    <s v="iPhone 12"/>
  </r>
  <r>
    <n v="71"/>
    <n v="29"/>
    <n v="10"/>
    <n v="2021"/>
    <s v="Friday"/>
    <x v="3"/>
    <n v="9"/>
    <n v="26525.79"/>
    <s v="Ayesha Ghosh"/>
    <n v="32"/>
    <x v="14"/>
    <s v="UPI"/>
    <n v="3"/>
    <s v="Galaxy Note 20"/>
  </r>
  <r>
    <n v="72"/>
    <n v="30"/>
    <n v="10"/>
    <n v="2021"/>
    <s v="Saturday"/>
    <x v="4"/>
    <n v="6"/>
    <n v="68064.399999999994"/>
    <s v="Yogesh Ahuja"/>
    <n v="25"/>
    <x v="17"/>
    <s v="UPI"/>
    <n v="4"/>
    <s v="iPhone 12"/>
  </r>
  <r>
    <n v="73"/>
    <n v="30"/>
    <n v="10"/>
    <n v="2021"/>
    <s v="Saturday"/>
    <x v="3"/>
    <n v="1"/>
    <n v="29292.51"/>
    <s v="Nikhil Bhattacharya"/>
    <n v="18"/>
    <x v="1"/>
    <s v="UPI"/>
    <n v="5"/>
    <s v="Galaxy Note 20"/>
  </r>
  <r>
    <n v="74"/>
    <n v="30"/>
    <n v="10"/>
    <n v="2021"/>
    <s v="Saturday"/>
    <x v="2"/>
    <n v="3"/>
    <n v="69894.039999999994"/>
    <s v="Sunil Das"/>
    <n v="24"/>
    <x v="1"/>
    <s v="Debit Card"/>
    <n v="4"/>
    <s v="OnePlus Nord"/>
  </r>
  <r>
    <n v="75"/>
    <n v="31"/>
    <n v="10"/>
    <n v="2021"/>
    <s v="Sunday"/>
    <x v="0"/>
    <n v="2"/>
    <n v="69769.820000000007"/>
    <s v="Shruti Iyer"/>
    <n v="48"/>
    <x v="2"/>
    <s v="UPI"/>
    <n v="3"/>
    <s v="Redmi Note 10"/>
  </r>
  <r>
    <n v="76"/>
    <n v="31"/>
    <n v="10"/>
    <n v="2021"/>
    <s v="Sunday"/>
    <x v="0"/>
    <n v="9"/>
    <n v="21472.63"/>
    <s v="Sunita Arora"/>
    <n v="35"/>
    <x v="2"/>
    <s v="UPI"/>
    <n v="5"/>
    <s v="Redmi Note 10"/>
  </r>
  <r>
    <n v="77"/>
    <n v="31"/>
    <n v="10"/>
    <n v="2021"/>
    <s v="Sunday"/>
    <x v="3"/>
    <n v="1"/>
    <n v="28764.47"/>
    <s v="Deepika Deshmukh"/>
    <n v="29"/>
    <x v="2"/>
    <s v="Debit Card"/>
    <n v="3"/>
    <s v="Galaxy A51"/>
  </r>
  <r>
    <n v="78"/>
    <n v="31"/>
    <n v="10"/>
    <n v="2021"/>
    <s v="Sunday"/>
    <x v="0"/>
    <n v="9"/>
    <n v="39162.65"/>
    <s v="Kiran Malhotra"/>
    <n v="47"/>
    <x v="8"/>
    <s v="Credit Card"/>
    <n v="2"/>
    <s v="Redmi 9"/>
  </r>
  <r>
    <n v="79"/>
    <n v="1"/>
    <n v="11"/>
    <n v="2021"/>
    <s v="Monday"/>
    <x v="4"/>
    <n v="9"/>
    <n v="49846.04"/>
    <s v="Bina Mishra"/>
    <n v="50"/>
    <x v="15"/>
    <s v="Debit Card"/>
    <n v="3"/>
    <s v="iPhone SE"/>
  </r>
  <r>
    <n v="80"/>
    <n v="1"/>
    <n v="11"/>
    <n v="2021"/>
    <s v="Monday"/>
    <x v="1"/>
    <n v="8"/>
    <n v="41682.85"/>
    <s v="Monika Srivastava"/>
    <n v="24"/>
    <x v="8"/>
    <s v="Cash"/>
    <n v="5"/>
    <s v="Vivo Y51"/>
  </r>
  <r>
    <n v="81"/>
    <n v="1"/>
    <n v="11"/>
    <n v="2021"/>
    <s v="Monday"/>
    <x v="3"/>
    <n v="8"/>
    <n v="68166.490000000005"/>
    <s v="Prashant Dutta"/>
    <n v="45"/>
    <x v="3"/>
    <s v="Debit Card"/>
    <n v="5"/>
    <s v="Galaxy Note 20"/>
  </r>
  <r>
    <n v="82"/>
    <n v="1"/>
    <n v="11"/>
    <n v="2021"/>
    <s v="Monday"/>
    <x v="0"/>
    <n v="1"/>
    <n v="53439.35"/>
    <s v="Vinod Pathak"/>
    <n v="20"/>
    <x v="13"/>
    <s v="Debit Card"/>
    <n v="5"/>
    <s v="Redmi Note 10"/>
  </r>
  <r>
    <n v="83"/>
    <n v="2"/>
    <n v="11"/>
    <n v="2021"/>
    <s v="Tuesday"/>
    <x v="3"/>
    <n v="8"/>
    <n v="22722.69"/>
    <s v="Sunil Luthra"/>
    <n v="23"/>
    <x v="1"/>
    <s v="Credit Card"/>
    <n v="4"/>
    <s v="Galaxy A51"/>
  </r>
  <r>
    <n v="84"/>
    <n v="2"/>
    <n v="11"/>
    <n v="2021"/>
    <s v="Tuesday"/>
    <x v="3"/>
    <n v="3"/>
    <n v="16305.85"/>
    <s v="Sunil Kapoor"/>
    <n v="48"/>
    <x v="1"/>
    <s v="Credit Card"/>
    <n v="2"/>
    <s v="Galaxy S21"/>
  </r>
  <r>
    <n v="85"/>
    <n v="2"/>
    <n v="11"/>
    <n v="2021"/>
    <s v="Tuesday"/>
    <x v="1"/>
    <n v="7"/>
    <n v="51304.08"/>
    <s v="Namita Roy"/>
    <n v="55"/>
    <x v="1"/>
    <s v="UPI"/>
    <n v="4"/>
    <s v="Vivo S1"/>
  </r>
  <r>
    <n v="86"/>
    <n v="2"/>
    <n v="11"/>
    <n v="2021"/>
    <s v="Tuesday"/>
    <x v="4"/>
    <n v="1"/>
    <n v="19507.150000000001"/>
    <s v="Sneha Mishra"/>
    <n v="32"/>
    <x v="18"/>
    <s v="Debit Card"/>
    <n v="5"/>
    <s v="iPhone SE"/>
  </r>
  <r>
    <n v="87"/>
    <n v="3"/>
    <n v="11"/>
    <n v="2021"/>
    <s v="Wednesday"/>
    <x v="3"/>
    <n v="1"/>
    <n v="57260.61"/>
    <s v="Sanjay Bhattacharya"/>
    <n v="24"/>
    <x v="17"/>
    <s v="Credit Card"/>
    <n v="5"/>
    <s v="Galaxy A51"/>
  </r>
  <r>
    <n v="88"/>
    <n v="3"/>
    <n v="11"/>
    <n v="2021"/>
    <s v="Wednesday"/>
    <x v="0"/>
    <n v="5"/>
    <n v="28662.2"/>
    <s v="Sneha Rao"/>
    <n v="47"/>
    <x v="1"/>
    <s v="Cash"/>
    <n v="3"/>
    <s v="Redmi 9"/>
  </r>
  <r>
    <n v="89"/>
    <n v="3"/>
    <n v="11"/>
    <n v="2021"/>
    <s v="Wednesday"/>
    <x v="2"/>
    <n v="5"/>
    <n v="29613.599999999999"/>
    <s v="Namita Bhatnagar"/>
    <n v="44"/>
    <x v="1"/>
    <s v="UPI"/>
    <n v="5"/>
    <s v="OnePlus Nord"/>
  </r>
  <r>
    <n v="90"/>
    <n v="3"/>
    <n v="11"/>
    <n v="2021"/>
    <s v="Wednesday"/>
    <x v="3"/>
    <n v="8"/>
    <n v="10647.9"/>
    <s v="Pooja Roy"/>
    <n v="34"/>
    <x v="1"/>
    <s v="Debit Card"/>
    <n v="5"/>
    <s v="Galaxy Note 20"/>
  </r>
  <r>
    <n v="91"/>
    <n v="4"/>
    <n v="11"/>
    <n v="2021"/>
    <s v="Thursday"/>
    <x v="3"/>
    <n v="7"/>
    <n v="52060.68"/>
    <s v="Devendra Jain"/>
    <n v="35"/>
    <x v="4"/>
    <s v="Cash"/>
    <n v="5"/>
    <s v="Galaxy S21"/>
  </r>
  <r>
    <n v="92"/>
    <n v="4"/>
    <n v="11"/>
    <n v="2021"/>
    <s v="Thursday"/>
    <x v="1"/>
    <n v="8"/>
    <n v="16796.189999999999"/>
    <s v="Neeta Sharma"/>
    <n v="39"/>
    <x v="18"/>
    <s v="Credit Card"/>
    <n v="5"/>
    <s v="Vivo S1"/>
  </r>
  <r>
    <n v="93"/>
    <n v="4"/>
    <n v="11"/>
    <n v="2021"/>
    <s v="Thursday"/>
    <x v="4"/>
    <n v="6"/>
    <n v="56372.83"/>
    <s v="Sumit Sheth"/>
    <n v="43"/>
    <x v="16"/>
    <s v="UPI"/>
    <n v="3"/>
    <s v="iPhone 11"/>
  </r>
  <r>
    <n v="94"/>
    <n v="4"/>
    <n v="11"/>
    <n v="2021"/>
    <s v="Thursday"/>
    <x v="2"/>
    <n v="6"/>
    <n v="39512.07"/>
    <s v="Bina Deshmukh"/>
    <n v="44"/>
    <x v="2"/>
    <s v="Cash"/>
    <n v="4"/>
    <s v="OnePlus 8T"/>
  </r>
  <r>
    <n v="95"/>
    <n v="5"/>
    <n v="11"/>
    <n v="2021"/>
    <s v="Friday"/>
    <x v="0"/>
    <n v="2"/>
    <n v="57056.79"/>
    <s v="Ravi Arora"/>
    <n v="57"/>
    <x v="2"/>
    <s v="Debit Card"/>
    <n v="2"/>
    <s v="Redmi 9"/>
  </r>
  <r>
    <n v="96"/>
    <n v="5"/>
    <n v="11"/>
    <n v="2021"/>
    <s v="Friday"/>
    <x v="2"/>
    <n v="6"/>
    <n v="45035.59"/>
    <s v="Anjali Pathak"/>
    <n v="41"/>
    <x v="14"/>
    <s v="Cash"/>
    <n v="4"/>
    <s v="OnePlus Nord"/>
  </r>
  <r>
    <n v="97"/>
    <n v="5"/>
    <n v="11"/>
    <n v="2021"/>
    <s v="Friday"/>
    <x v="0"/>
    <n v="5"/>
    <n v="14946"/>
    <s v="Rajesh Menon"/>
    <n v="25"/>
    <x v="6"/>
    <s v="UPI"/>
    <n v="3"/>
    <s v="Mi 11"/>
  </r>
  <r>
    <n v="98"/>
    <n v="5"/>
    <n v="11"/>
    <n v="2021"/>
    <s v="Friday"/>
    <x v="4"/>
    <n v="3"/>
    <n v="55939.14"/>
    <s v="Reena Chatterjee"/>
    <n v="38"/>
    <x v="7"/>
    <s v="Debit Card"/>
    <n v="5"/>
    <s v="iPhone SE"/>
  </r>
  <r>
    <n v="99"/>
    <n v="6"/>
    <n v="11"/>
    <n v="2021"/>
    <s v="Saturday"/>
    <x v="0"/>
    <n v="6"/>
    <n v="14187.97"/>
    <s v="Nikhil Pathak"/>
    <n v="46"/>
    <x v="17"/>
    <s v="Debit Card"/>
    <n v="4"/>
    <s v="Mi 11"/>
  </r>
  <r>
    <n v="100"/>
    <n v="6"/>
    <n v="11"/>
    <n v="2021"/>
    <s v="Saturday"/>
    <x v="1"/>
    <n v="8"/>
    <n v="38722.1"/>
    <s v="Krishna Bhattacharya"/>
    <n v="38"/>
    <x v="3"/>
    <s v="Cash"/>
    <n v="2"/>
    <s v="Vivo S1"/>
  </r>
  <r>
    <n v="101"/>
    <n v="6"/>
    <n v="11"/>
    <n v="2021"/>
    <s v="Saturday"/>
    <x v="1"/>
    <n v="9"/>
    <n v="20340.95"/>
    <s v="Ayesha Thakur"/>
    <n v="20"/>
    <x v="16"/>
    <s v="UPI"/>
    <n v="3"/>
    <s v="Vivo Y51"/>
  </r>
  <r>
    <n v="102"/>
    <n v="6"/>
    <n v="11"/>
    <n v="2021"/>
    <s v="Saturday"/>
    <x v="1"/>
    <n v="1"/>
    <n v="55140.11"/>
    <s v="Bina Nair"/>
    <n v="48"/>
    <x v="0"/>
    <s v="Debit Card"/>
    <n v="5"/>
    <s v="Vivo S1"/>
  </r>
  <r>
    <n v="103"/>
    <n v="7"/>
    <n v="11"/>
    <n v="2021"/>
    <s v="Sunday"/>
    <x v="1"/>
    <n v="3"/>
    <n v="64695.47"/>
    <s v="Krishna Malhotra"/>
    <n v="44"/>
    <x v="5"/>
    <s v="UPI"/>
    <n v="3"/>
    <s v="Vivo Y51"/>
  </r>
  <r>
    <n v="104"/>
    <n v="7"/>
    <n v="11"/>
    <n v="2021"/>
    <s v="Sunday"/>
    <x v="2"/>
    <n v="3"/>
    <n v="43247.57"/>
    <s v="Mala Das"/>
    <n v="44"/>
    <x v="3"/>
    <s v="Credit Card"/>
    <n v="5"/>
    <s v="OnePlus 9"/>
  </r>
  <r>
    <n v="105"/>
    <n v="7"/>
    <n v="11"/>
    <n v="2021"/>
    <s v="Sunday"/>
    <x v="4"/>
    <n v="8"/>
    <n v="41628.839999999997"/>
    <s v="Anita Bhattacharya"/>
    <n v="26"/>
    <x v="14"/>
    <s v="Cash"/>
    <n v="2"/>
    <s v="iPhone SE"/>
  </r>
  <r>
    <n v="106"/>
    <n v="7"/>
    <n v="11"/>
    <n v="2021"/>
    <s v="Sunday"/>
    <x v="0"/>
    <n v="1"/>
    <n v="55837.79"/>
    <s v="Nikhil Solanki"/>
    <n v="50"/>
    <x v="2"/>
    <s v="UPI"/>
    <n v="3"/>
    <s v="Redmi 9"/>
  </r>
  <r>
    <n v="107"/>
    <n v="8"/>
    <n v="11"/>
    <n v="2021"/>
    <s v="Monday"/>
    <x v="0"/>
    <n v="5"/>
    <n v="10304.73"/>
    <s v="Shruti Bhatnagar"/>
    <n v="50"/>
    <x v="16"/>
    <s v="Credit Card"/>
    <n v="5"/>
    <s v="Mi 11"/>
  </r>
  <r>
    <n v="108"/>
    <n v="8"/>
    <n v="11"/>
    <n v="2021"/>
    <s v="Monday"/>
    <x v="1"/>
    <n v="3"/>
    <n v="65065.52"/>
    <s v="Kiran Goyal"/>
    <n v="43"/>
    <x v="1"/>
    <s v="Credit Card"/>
    <n v="5"/>
    <s v="Vivo S1"/>
  </r>
  <r>
    <n v="109"/>
    <n v="8"/>
    <n v="11"/>
    <n v="2021"/>
    <s v="Monday"/>
    <x v="1"/>
    <n v="2"/>
    <n v="21846.93"/>
    <s v="Kiran Prasad"/>
    <n v="45"/>
    <x v="11"/>
    <s v="UPI"/>
    <n v="3"/>
    <s v="Vivo V20"/>
  </r>
  <r>
    <n v="110"/>
    <n v="9"/>
    <n v="11"/>
    <n v="2021"/>
    <s v="Tuesday"/>
    <x v="3"/>
    <n v="8"/>
    <n v="69047.13"/>
    <s v="Sunil Jain"/>
    <n v="48"/>
    <x v="3"/>
    <s v="UPI"/>
    <n v="5"/>
    <s v="Galaxy S21"/>
  </r>
  <r>
    <n v="111"/>
    <n v="9"/>
    <n v="11"/>
    <n v="2021"/>
    <s v="Tuesday"/>
    <x v="4"/>
    <n v="3"/>
    <n v="54175.24"/>
    <s v="Manoj Rathod"/>
    <n v="18"/>
    <x v="13"/>
    <s v="Cash"/>
    <n v="3"/>
    <s v="iPhone 11"/>
  </r>
  <r>
    <n v="112"/>
    <n v="9"/>
    <n v="11"/>
    <n v="2021"/>
    <s v="Tuesday"/>
    <x v="2"/>
    <n v="7"/>
    <n v="56455.07"/>
    <s v="Tapan Gupta"/>
    <n v="37"/>
    <x v="3"/>
    <s v="Cash"/>
    <n v="5"/>
    <s v="OnePlus 8T"/>
  </r>
  <r>
    <n v="113"/>
    <n v="10"/>
    <n v="11"/>
    <n v="2021"/>
    <s v="Wednesday"/>
    <x v="0"/>
    <n v="1"/>
    <n v="49372.18"/>
    <s v="Anjali Pathak"/>
    <n v="29"/>
    <x v="1"/>
    <s v="Debit Card"/>
    <n v="3"/>
    <s v="Redmi 9"/>
  </r>
  <r>
    <n v="114"/>
    <n v="10"/>
    <n v="11"/>
    <n v="2021"/>
    <s v="Wednesday"/>
    <x v="3"/>
    <n v="6"/>
    <n v="38299.79"/>
    <s v="Isha Desai"/>
    <n v="34"/>
    <x v="12"/>
    <s v="Cash"/>
    <n v="5"/>
    <s v="Galaxy Note 20"/>
  </r>
  <r>
    <n v="115"/>
    <n v="10"/>
    <n v="11"/>
    <n v="2021"/>
    <s v="Wednesday"/>
    <x v="3"/>
    <n v="3"/>
    <n v="44297.66"/>
    <s v="Vinod Goyal"/>
    <n v="32"/>
    <x v="2"/>
    <s v="UPI"/>
    <n v="4"/>
    <s v="Galaxy S21"/>
  </r>
  <r>
    <n v="116"/>
    <n v="10"/>
    <n v="11"/>
    <n v="2021"/>
    <s v="Wednesday"/>
    <x v="0"/>
    <n v="8"/>
    <n v="12784.17"/>
    <s v="Krishna Rathod"/>
    <n v="51"/>
    <x v="1"/>
    <s v="Debit Card"/>
    <n v="3"/>
    <s v="Redmi Note 10"/>
  </r>
  <r>
    <n v="117"/>
    <n v="11"/>
    <n v="11"/>
    <n v="2021"/>
    <s v="Thursday"/>
    <x v="2"/>
    <n v="6"/>
    <n v="47437.57"/>
    <s v="Jyoti Alva"/>
    <n v="33"/>
    <x v="1"/>
    <s v="Credit Card"/>
    <n v="5"/>
    <s v="OnePlus Nord"/>
  </r>
  <r>
    <n v="118"/>
    <n v="11"/>
    <n v="11"/>
    <n v="2021"/>
    <s v="Thursday"/>
    <x v="3"/>
    <n v="2"/>
    <n v="47565.89"/>
    <s v="Pankaj Mehta"/>
    <n v="21"/>
    <x v="1"/>
    <s v="Credit Card"/>
    <n v="3"/>
    <s v="Galaxy S21"/>
  </r>
  <r>
    <n v="119"/>
    <n v="11"/>
    <n v="11"/>
    <n v="2021"/>
    <s v="Thursday"/>
    <x v="3"/>
    <n v="6"/>
    <n v="63472.05"/>
    <s v="Anjali Srivastava"/>
    <n v="25"/>
    <x v="3"/>
    <s v="UPI"/>
    <n v="5"/>
    <s v="Galaxy Note 20"/>
  </r>
  <r>
    <n v="120"/>
    <n v="11"/>
    <n v="11"/>
    <n v="2021"/>
    <s v="Thursday"/>
    <x v="4"/>
    <n v="7"/>
    <n v="40339.379999999997"/>
    <s v="Anita Pathak"/>
    <n v="51"/>
    <x v="8"/>
    <s v="Debit Card"/>
    <n v="2"/>
    <s v="iPhone SE"/>
  </r>
  <r>
    <n v="121"/>
    <n v="12"/>
    <n v="11"/>
    <n v="2021"/>
    <s v="Friday"/>
    <x v="2"/>
    <n v="5"/>
    <n v="14628.66"/>
    <s v="Arun Verma"/>
    <n v="42"/>
    <x v="10"/>
    <s v="Debit Card"/>
    <n v="3"/>
    <s v="OnePlus Nord"/>
  </r>
  <r>
    <n v="122"/>
    <n v="12"/>
    <n v="11"/>
    <n v="2021"/>
    <s v="Friday"/>
    <x v="3"/>
    <n v="3"/>
    <n v="28371.759999999998"/>
    <s v="Yogesh Luthra"/>
    <n v="32"/>
    <x v="7"/>
    <s v="Cash"/>
    <n v="5"/>
    <s v="Galaxy A51"/>
  </r>
  <r>
    <n v="123"/>
    <n v="12"/>
    <n v="11"/>
    <n v="2021"/>
    <s v="Friday"/>
    <x v="2"/>
    <n v="4"/>
    <n v="49337.760000000002"/>
    <s v="Sachin Joshi"/>
    <n v="45"/>
    <x v="2"/>
    <s v="Credit Card"/>
    <n v="5"/>
    <s v="OnePlus 8T"/>
  </r>
  <r>
    <n v="124"/>
    <n v="12"/>
    <n v="11"/>
    <n v="2021"/>
    <s v="Friday"/>
    <x v="0"/>
    <n v="4"/>
    <n v="24355.53"/>
    <s v="Sumit Arora"/>
    <n v="26"/>
    <x v="1"/>
    <s v="Credit Card"/>
    <n v="2"/>
    <s v="Redmi 9"/>
  </r>
  <r>
    <n v="125"/>
    <n v="13"/>
    <n v="11"/>
    <n v="2021"/>
    <s v="Saturday"/>
    <x v="1"/>
    <n v="6"/>
    <n v="26831.67"/>
    <s v="Sunil Rawat"/>
    <n v="19"/>
    <x v="1"/>
    <s v="Cash"/>
    <n v="3"/>
    <s v="Vivo S1"/>
  </r>
  <r>
    <n v="126"/>
    <n v="13"/>
    <n v="11"/>
    <n v="2021"/>
    <s v="Saturday"/>
    <x v="3"/>
    <n v="1"/>
    <n v="59228.14"/>
    <s v="Pankaj Desai"/>
    <n v="34"/>
    <x v="11"/>
    <s v="Credit Card"/>
    <n v="4"/>
    <s v="Galaxy S21"/>
  </r>
  <r>
    <n v="127"/>
    <n v="13"/>
    <n v="11"/>
    <n v="2021"/>
    <s v="Saturday"/>
    <x v="4"/>
    <n v="4"/>
    <n v="45059.18"/>
    <s v="Kiran Solanki"/>
    <n v="27"/>
    <x v="1"/>
    <s v="Cash"/>
    <n v="5"/>
    <s v="iPhone 12"/>
  </r>
  <r>
    <n v="128"/>
    <n v="14"/>
    <n v="11"/>
    <n v="2021"/>
    <s v="Sunday"/>
    <x v="0"/>
    <n v="4"/>
    <n v="40511.65"/>
    <s v="Prashant Luthra"/>
    <n v="26"/>
    <x v="6"/>
    <s v="Credit Card"/>
    <n v="5"/>
    <s v="Redmi 9"/>
  </r>
  <r>
    <n v="129"/>
    <n v="14"/>
    <n v="11"/>
    <n v="2021"/>
    <s v="Sunday"/>
    <x v="2"/>
    <n v="1"/>
    <n v="29107.119999999999"/>
    <s v="Meena Mathur"/>
    <n v="48"/>
    <x v="11"/>
    <s v="Credit Card"/>
    <n v="5"/>
    <s v="OnePlus 8T"/>
  </r>
  <r>
    <n v="130"/>
    <n v="14"/>
    <n v="11"/>
    <n v="2021"/>
    <s v="Sunday"/>
    <x v="0"/>
    <n v="9"/>
    <n v="53855.68"/>
    <s v="Kavita Patel"/>
    <n v="19"/>
    <x v="8"/>
    <s v="Credit Card"/>
    <n v="5"/>
    <s v="Mi 11"/>
  </r>
  <r>
    <n v="131"/>
    <n v="14"/>
    <n v="11"/>
    <n v="2021"/>
    <s v="Sunday"/>
    <x v="3"/>
    <n v="4"/>
    <n v="27263.11"/>
    <s v="Sanjay Pathak"/>
    <n v="41"/>
    <x v="4"/>
    <s v="Cash"/>
    <n v="3"/>
    <s v="Galaxy Note 20"/>
  </r>
  <r>
    <n v="132"/>
    <n v="15"/>
    <n v="11"/>
    <n v="2021"/>
    <s v="Monday"/>
    <x v="2"/>
    <n v="7"/>
    <n v="54223.81"/>
    <s v="Ravi Ghosh"/>
    <n v="36"/>
    <x v="14"/>
    <s v="Credit Card"/>
    <n v="5"/>
    <s v="OnePlus 8T"/>
  </r>
  <r>
    <n v="133"/>
    <n v="15"/>
    <n v="11"/>
    <n v="2021"/>
    <s v="Monday"/>
    <x v="1"/>
    <n v="3"/>
    <n v="14206.09"/>
    <s v="Vinod Joshi"/>
    <n v="34"/>
    <x v="9"/>
    <s v="Credit Card"/>
    <n v="3"/>
    <s v="Vivo V20"/>
  </r>
  <r>
    <n v="134"/>
    <n v="15"/>
    <n v="11"/>
    <n v="2021"/>
    <s v="Monday"/>
    <x v="0"/>
    <n v="3"/>
    <n v="61872.480000000003"/>
    <s v="Tanuja Goyal"/>
    <n v="27"/>
    <x v="2"/>
    <s v="Debit Card"/>
    <n v="4"/>
    <s v="Mi 11"/>
  </r>
  <r>
    <n v="135"/>
    <n v="16"/>
    <n v="11"/>
    <n v="2021"/>
    <s v="Tuesday"/>
    <x v="3"/>
    <n v="8"/>
    <n v="39973.99"/>
    <s v="Pankaj Desai"/>
    <n v="45"/>
    <x v="2"/>
    <s v="Credit Card"/>
    <n v="3"/>
    <s v="Galaxy Note 20"/>
  </r>
  <r>
    <n v="136"/>
    <n v="16"/>
    <n v="11"/>
    <n v="2021"/>
    <s v="Tuesday"/>
    <x v="4"/>
    <n v="8"/>
    <n v="36310.480000000003"/>
    <s v="Isha Desai"/>
    <n v="55"/>
    <x v="1"/>
    <s v="UPI"/>
    <n v="3"/>
    <s v="iPhone SE"/>
  </r>
  <r>
    <n v="137"/>
    <n v="16"/>
    <n v="11"/>
    <n v="2021"/>
    <s v="Tuesday"/>
    <x v="2"/>
    <n v="1"/>
    <n v="46661.4"/>
    <s v="Krishna Jain"/>
    <n v="45"/>
    <x v="18"/>
    <s v="Credit Card"/>
    <n v="3"/>
    <s v="OnePlus 8T"/>
  </r>
  <r>
    <n v="138"/>
    <n v="17"/>
    <n v="11"/>
    <n v="2021"/>
    <s v="Wednesday"/>
    <x v="0"/>
    <n v="2"/>
    <n v="47451.519999999997"/>
    <s v="Tanuja Mathur"/>
    <n v="18"/>
    <x v="1"/>
    <s v="Credit Card"/>
    <n v="5"/>
    <s v="Mi 11"/>
  </r>
  <r>
    <n v="139"/>
    <n v="17"/>
    <n v="11"/>
    <n v="2021"/>
    <s v="Wednesday"/>
    <x v="0"/>
    <n v="8"/>
    <n v="17922.11"/>
    <s v="Anand Kapoor"/>
    <n v="20"/>
    <x v="2"/>
    <s v="Debit Card"/>
    <n v="2"/>
    <s v="Mi 11"/>
  </r>
  <r>
    <n v="140"/>
    <n v="17"/>
    <n v="11"/>
    <n v="2021"/>
    <s v="Wednesday"/>
    <x v="1"/>
    <n v="1"/>
    <n v="55374.02"/>
    <s v="Neeta Kulkarni"/>
    <n v="32"/>
    <x v="2"/>
    <s v="Debit Card"/>
    <n v="5"/>
    <s v="Vivo Y51"/>
  </r>
  <r>
    <n v="141"/>
    <n v="18"/>
    <n v="11"/>
    <n v="2021"/>
    <s v="Thursday"/>
    <x v="1"/>
    <n v="8"/>
    <n v="26555.7"/>
    <s v="Sachin Varma"/>
    <n v="27"/>
    <x v="15"/>
    <s v="Cash"/>
    <n v="5"/>
    <s v="Vivo V20"/>
  </r>
  <r>
    <n v="142"/>
    <n v="18"/>
    <n v="11"/>
    <n v="2021"/>
    <s v="Thursday"/>
    <x v="4"/>
    <n v="8"/>
    <n v="64297.71"/>
    <s v="Sumit Verma"/>
    <n v="38"/>
    <x v="17"/>
    <s v="Cash"/>
    <n v="5"/>
    <s v="iPhone SE"/>
  </r>
  <r>
    <n v="143"/>
    <n v="18"/>
    <n v="11"/>
    <n v="2021"/>
    <s v="Thursday"/>
    <x v="4"/>
    <n v="2"/>
    <n v="59071.040000000001"/>
    <s v="Kavita Jain"/>
    <n v="54"/>
    <x v="10"/>
    <s v="UPI"/>
    <n v="5"/>
    <s v="iPhone 12"/>
  </r>
  <r>
    <n v="144"/>
    <n v="19"/>
    <n v="11"/>
    <n v="2021"/>
    <s v="Friday"/>
    <x v="3"/>
    <n v="4"/>
    <n v="30775.96"/>
    <s v="Reena Bhatnagar"/>
    <n v="32"/>
    <x v="3"/>
    <s v="Debit Card"/>
    <n v="5"/>
    <s v="Galaxy A51"/>
  </r>
  <r>
    <n v="145"/>
    <n v="19"/>
    <n v="11"/>
    <n v="2021"/>
    <s v="Friday"/>
    <x v="3"/>
    <n v="6"/>
    <n v="58464.36"/>
    <s v="Anjali Ahuja"/>
    <n v="40"/>
    <x v="2"/>
    <s v="Cash"/>
    <n v="5"/>
    <s v="Galaxy A51"/>
  </r>
  <r>
    <n v="146"/>
    <n v="19"/>
    <n v="11"/>
    <n v="2021"/>
    <s v="Friday"/>
    <x v="4"/>
    <n v="9"/>
    <n v="31383.43"/>
    <s v="Prashant Teja"/>
    <n v="31"/>
    <x v="2"/>
    <s v="Cash"/>
    <n v="5"/>
    <s v="iPhone SE"/>
  </r>
  <r>
    <n v="147"/>
    <n v="20"/>
    <n v="11"/>
    <n v="2021"/>
    <s v="Saturday"/>
    <x v="4"/>
    <n v="8"/>
    <n v="16056.86"/>
    <s v="Rajesh Kaur"/>
    <n v="32"/>
    <x v="16"/>
    <s v="Cash"/>
    <n v="5"/>
    <s v="iPhone SE"/>
  </r>
  <r>
    <n v="148"/>
    <n v="20"/>
    <n v="11"/>
    <n v="2021"/>
    <s v="Saturday"/>
    <x v="2"/>
    <n v="8"/>
    <n v="67713.289999999994"/>
    <s v="Anita Prasad"/>
    <n v="27"/>
    <x v="0"/>
    <s v="Debit Card"/>
    <n v="3"/>
    <s v="OnePlus 9"/>
  </r>
  <r>
    <n v="149"/>
    <n v="20"/>
    <n v="11"/>
    <n v="2021"/>
    <s v="Saturday"/>
    <x v="1"/>
    <n v="7"/>
    <n v="49156.12"/>
    <s v="Mala Teja"/>
    <n v="26"/>
    <x v="1"/>
    <s v="Debit Card"/>
    <n v="5"/>
    <s v="Vivo S1"/>
  </r>
  <r>
    <n v="150"/>
    <n v="20"/>
    <n v="11"/>
    <n v="2021"/>
    <s v="Saturday"/>
    <x v="3"/>
    <n v="9"/>
    <n v="37365.97"/>
    <s v="Tanuja Goyal"/>
    <n v="56"/>
    <x v="1"/>
    <s v="UPI"/>
    <n v="4"/>
    <s v="Galaxy Note 20"/>
  </r>
  <r>
    <n v="151"/>
    <n v="21"/>
    <n v="11"/>
    <n v="2021"/>
    <s v="Sunday"/>
    <x v="1"/>
    <n v="2"/>
    <n v="33866.400000000001"/>
    <s v="Reena Rao"/>
    <n v="22"/>
    <x v="14"/>
    <s v="Debit Card"/>
    <n v="5"/>
    <s v="Vivo Y51"/>
  </r>
  <r>
    <n v="152"/>
    <n v="21"/>
    <n v="11"/>
    <n v="2021"/>
    <s v="Sunday"/>
    <x v="1"/>
    <n v="3"/>
    <n v="29482.32"/>
    <s v="Tanuja Shah"/>
    <n v="42"/>
    <x v="9"/>
    <s v="Debit Card"/>
    <n v="5"/>
    <s v="Vivo S1"/>
  </r>
  <r>
    <n v="153"/>
    <n v="21"/>
    <n v="11"/>
    <n v="2021"/>
    <s v="Sunday"/>
    <x v="4"/>
    <n v="8"/>
    <n v="68886.86"/>
    <s v="Radha Jain"/>
    <n v="59"/>
    <x v="7"/>
    <s v="Debit Card"/>
    <n v="5"/>
    <s v="iPhone 11"/>
  </r>
  <r>
    <n v="154"/>
    <n v="21"/>
    <n v="11"/>
    <n v="2021"/>
    <s v="Sunday"/>
    <x v="2"/>
    <n v="6"/>
    <n v="18084.84"/>
    <s v="Monika Ahuja"/>
    <n v="43"/>
    <x v="1"/>
    <s v="UPI"/>
    <n v="5"/>
    <s v="OnePlus 8T"/>
  </r>
  <r>
    <n v="155"/>
    <n v="22"/>
    <n v="11"/>
    <n v="2021"/>
    <s v="Monday"/>
    <x v="0"/>
    <n v="9"/>
    <n v="28888.3"/>
    <s v="Kavita Goyal"/>
    <n v="25"/>
    <x v="0"/>
    <s v="Credit Card"/>
    <n v="5"/>
    <s v="Redmi 9"/>
  </r>
  <r>
    <n v="156"/>
    <n v="22"/>
    <n v="11"/>
    <n v="2021"/>
    <s v="Monday"/>
    <x v="2"/>
    <n v="4"/>
    <n v="39129.86"/>
    <s v="Priya Roy"/>
    <n v="39"/>
    <x v="9"/>
    <s v="Credit Card"/>
    <n v="5"/>
    <s v="OnePlus Nord"/>
  </r>
  <r>
    <n v="157"/>
    <n v="22"/>
    <n v="11"/>
    <n v="2021"/>
    <s v="Monday"/>
    <x v="2"/>
    <n v="8"/>
    <n v="38679.97"/>
    <s v="Pooja Dutta"/>
    <n v="42"/>
    <x v="1"/>
    <s v="Cash"/>
    <n v="5"/>
    <s v="OnePlus Nord"/>
  </r>
  <r>
    <n v="158"/>
    <n v="22"/>
    <n v="11"/>
    <n v="2021"/>
    <s v="Monday"/>
    <x v="1"/>
    <n v="3"/>
    <n v="38281.99"/>
    <s v="Namita Das"/>
    <n v="29"/>
    <x v="3"/>
    <s v="Credit Card"/>
    <n v="5"/>
    <s v="Vivo V20"/>
  </r>
  <r>
    <n v="159"/>
    <n v="23"/>
    <n v="11"/>
    <n v="2021"/>
    <s v="Tuesday"/>
    <x v="2"/>
    <n v="3"/>
    <n v="20547.03"/>
    <s v="Nikhil Bhatnagar"/>
    <n v="26"/>
    <x v="10"/>
    <s v="Credit Card"/>
    <n v="3"/>
    <s v="OnePlus Nord"/>
  </r>
  <r>
    <n v="160"/>
    <n v="23"/>
    <n v="11"/>
    <n v="2021"/>
    <s v="Tuesday"/>
    <x v="3"/>
    <n v="8"/>
    <n v="18695.95"/>
    <s v="Sanjay Sheth"/>
    <n v="27"/>
    <x v="17"/>
    <s v="UPI"/>
    <n v="4"/>
    <s v="Galaxy A51"/>
  </r>
  <r>
    <n v="161"/>
    <n v="23"/>
    <n v="11"/>
    <n v="2021"/>
    <s v="Tuesday"/>
    <x v="1"/>
    <n v="5"/>
    <n v="25286.06"/>
    <s v="Radha Rao"/>
    <n v="27"/>
    <x v="6"/>
    <s v="UPI"/>
    <n v="5"/>
    <s v="Vivo V20"/>
  </r>
  <r>
    <n v="162"/>
    <n v="23"/>
    <n v="11"/>
    <n v="2021"/>
    <s v="Tuesday"/>
    <x v="3"/>
    <n v="3"/>
    <n v="64871.57"/>
    <s v="Lata Iyer"/>
    <n v="26"/>
    <x v="2"/>
    <s v="Credit Card"/>
    <n v="5"/>
    <s v="Galaxy Note 20"/>
  </r>
  <r>
    <n v="163"/>
    <n v="24"/>
    <n v="11"/>
    <n v="2021"/>
    <s v="Wednesday"/>
    <x v="0"/>
    <n v="1"/>
    <n v="16783.18"/>
    <s v="Ravi Arora"/>
    <n v="43"/>
    <x v="2"/>
    <s v="Credit Card"/>
    <n v="3"/>
    <s v="Redmi Note 10"/>
  </r>
  <r>
    <n v="164"/>
    <n v="24"/>
    <n v="11"/>
    <n v="2021"/>
    <s v="Wednesday"/>
    <x v="1"/>
    <n v="3"/>
    <n v="55445.51"/>
    <s v="Namita Desai"/>
    <n v="52"/>
    <x v="2"/>
    <s v="Credit Card"/>
    <n v="5"/>
    <s v="Vivo Y51"/>
  </r>
  <r>
    <n v="165"/>
    <n v="24"/>
    <n v="11"/>
    <n v="2021"/>
    <s v="Wednesday"/>
    <x v="0"/>
    <n v="9"/>
    <n v="55452.9"/>
    <s v="Pooja Joshi"/>
    <n v="44"/>
    <x v="0"/>
    <s v="Cash"/>
    <n v="5"/>
    <s v="Redmi Note 10"/>
  </r>
  <r>
    <n v="166"/>
    <n v="24"/>
    <n v="11"/>
    <n v="2021"/>
    <s v="Wednesday"/>
    <x v="1"/>
    <n v="5"/>
    <n v="58586.22"/>
    <s v="Reena Deshmukh"/>
    <n v="48"/>
    <x v="1"/>
    <s v="UPI"/>
    <n v="5"/>
    <s v="Vivo S1"/>
  </r>
  <r>
    <n v="167"/>
    <n v="25"/>
    <n v="11"/>
    <n v="2021"/>
    <s v="Thursday"/>
    <x v="4"/>
    <n v="2"/>
    <n v="63196.93"/>
    <s v="Pooja Thakur"/>
    <n v="36"/>
    <x v="1"/>
    <s v="Credit Card"/>
    <n v="5"/>
    <s v="iPhone 12"/>
  </r>
  <r>
    <n v="168"/>
    <n v="25"/>
    <n v="11"/>
    <n v="2021"/>
    <s v="Thursday"/>
    <x v="2"/>
    <n v="7"/>
    <n v="25782.17"/>
    <s v="Bhavana Kapoor"/>
    <n v="55"/>
    <x v="2"/>
    <s v="Debit Card"/>
    <n v="5"/>
    <s v="OnePlus Nord"/>
  </r>
  <r>
    <n v="169"/>
    <n v="25"/>
    <n v="11"/>
    <n v="2021"/>
    <s v="Thursday"/>
    <x v="4"/>
    <n v="2"/>
    <n v="23473.57"/>
    <s v="Namita Desai"/>
    <n v="23"/>
    <x v="15"/>
    <s v="Credit Card"/>
    <n v="5"/>
    <s v="iPhone 11"/>
  </r>
  <r>
    <n v="170"/>
    <n v="26"/>
    <n v="11"/>
    <n v="2021"/>
    <s v="Friday"/>
    <x v="0"/>
    <n v="4"/>
    <n v="37930.339999999997"/>
    <s v="Amit Dutta"/>
    <n v="32"/>
    <x v="5"/>
    <s v="Debit Card"/>
    <n v="5"/>
    <s v="Redmi 9"/>
  </r>
  <r>
    <n v="171"/>
    <n v="26"/>
    <n v="11"/>
    <n v="2021"/>
    <s v="Friday"/>
    <x v="2"/>
    <n v="7"/>
    <n v="25905.35"/>
    <s v="Sanjay Bhattacharya"/>
    <n v="46"/>
    <x v="1"/>
    <s v="Cash"/>
    <n v="5"/>
    <s v="OnePlus 9"/>
  </r>
  <r>
    <n v="172"/>
    <n v="26"/>
    <n v="11"/>
    <n v="2021"/>
    <s v="Friday"/>
    <x v="1"/>
    <n v="4"/>
    <n v="54058.6"/>
    <s v="Shruti Chaudhary"/>
    <n v="22"/>
    <x v="1"/>
    <s v="Debit Card"/>
    <n v="5"/>
    <s v="Vivo V20"/>
  </r>
  <r>
    <n v="173"/>
    <n v="26"/>
    <n v="11"/>
    <n v="2021"/>
    <s v="Friday"/>
    <x v="2"/>
    <n v="7"/>
    <n v="48156.37"/>
    <s v="Sumit Reddy"/>
    <n v="31"/>
    <x v="17"/>
    <s v="UPI"/>
    <n v="5"/>
    <s v="OnePlus 8T"/>
  </r>
  <r>
    <n v="174"/>
    <n v="27"/>
    <n v="11"/>
    <n v="2021"/>
    <s v="Saturday"/>
    <x v="3"/>
    <n v="7"/>
    <n v="62499.26"/>
    <s v="Bina Goyal"/>
    <n v="19"/>
    <x v="16"/>
    <s v="Cash"/>
    <n v="5"/>
    <s v="Galaxy A51"/>
  </r>
  <r>
    <n v="175"/>
    <n v="27"/>
    <n v="11"/>
    <n v="2021"/>
    <s v="Saturday"/>
    <x v="2"/>
    <n v="1"/>
    <n v="14964.3"/>
    <s v="Anita Prasad"/>
    <n v="40"/>
    <x v="8"/>
    <s v="Cash"/>
    <n v="5"/>
    <s v="OnePlus 8T"/>
  </r>
  <r>
    <n v="176"/>
    <n v="27"/>
    <n v="11"/>
    <n v="2021"/>
    <s v="Saturday"/>
    <x v="3"/>
    <n v="6"/>
    <n v="64905"/>
    <s v="Reena Dutta"/>
    <n v="36"/>
    <x v="18"/>
    <s v="Credit Card"/>
    <n v="5"/>
    <s v="Galaxy A51"/>
  </r>
  <r>
    <n v="177"/>
    <n v="27"/>
    <n v="11"/>
    <n v="2021"/>
    <s v="Saturday"/>
    <x v="2"/>
    <n v="9"/>
    <n v="27600.92"/>
    <s v="Vivek Srivastava"/>
    <n v="41"/>
    <x v="9"/>
    <s v="Cash"/>
    <n v="3"/>
    <s v="OnePlus Nord"/>
  </r>
  <r>
    <n v="178"/>
    <n v="28"/>
    <n v="11"/>
    <n v="2021"/>
    <s v="Sunday"/>
    <x v="3"/>
    <n v="2"/>
    <n v="39441.660000000003"/>
    <s v="Kavita Desai"/>
    <n v="37"/>
    <x v="1"/>
    <s v="Cash"/>
    <n v="5"/>
    <s v="Galaxy Note 20"/>
  </r>
  <r>
    <n v="179"/>
    <n v="28"/>
    <n v="11"/>
    <n v="2021"/>
    <s v="Sunday"/>
    <x v="0"/>
    <n v="3"/>
    <n v="36316.69"/>
    <s v="Anjali Thakur"/>
    <n v="44"/>
    <x v="2"/>
    <s v="Debit Card"/>
    <n v="5"/>
    <s v="Mi 11"/>
  </r>
  <r>
    <n v="180"/>
    <n v="28"/>
    <n v="11"/>
    <n v="2021"/>
    <s v="Sunday"/>
    <x v="4"/>
    <n v="5"/>
    <n v="55618.7"/>
    <s v="Vijay Sheth"/>
    <n v="41"/>
    <x v="1"/>
    <s v="Credit Card"/>
    <n v="4"/>
    <s v="iPhone SE"/>
  </r>
  <r>
    <n v="181"/>
    <n v="29"/>
    <n v="11"/>
    <n v="2021"/>
    <s v="Monday"/>
    <x v="1"/>
    <n v="9"/>
    <n v="35220"/>
    <s v="Vivek Nair"/>
    <n v="34"/>
    <x v="3"/>
    <s v="UPI"/>
    <n v="5"/>
    <s v="Vivo Y51"/>
  </r>
  <r>
    <n v="182"/>
    <n v="29"/>
    <n v="11"/>
    <n v="2021"/>
    <s v="Monday"/>
    <x v="2"/>
    <n v="4"/>
    <n v="66613.19"/>
    <s v="Sneha Jain"/>
    <n v="42"/>
    <x v="1"/>
    <s v="Credit Card"/>
    <n v="4"/>
    <s v="OnePlus Nord"/>
  </r>
  <r>
    <n v="183"/>
    <n v="29"/>
    <n v="11"/>
    <n v="2021"/>
    <s v="Monday"/>
    <x v="4"/>
    <n v="1"/>
    <n v="64152.03"/>
    <s v="Nikhil Pathak"/>
    <n v="48"/>
    <x v="15"/>
    <s v="UPI"/>
    <n v="3"/>
    <s v="iPhone 11"/>
  </r>
  <r>
    <n v="184"/>
    <n v="29"/>
    <n v="11"/>
    <n v="2021"/>
    <s v="Monday"/>
    <x v="1"/>
    <n v="4"/>
    <n v="62329.67"/>
    <s v="Manoj Mehta"/>
    <n v="45"/>
    <x v="1"/>
    <s v="Debit Card"/>
    <n v="5"/>
    <s v="Vivo Y51"/>
  </r>
  <r>
    <n v="185"/>
    <n v="30"/>
    <n v="11"/>
    <n v="2021"/>
    <s v="Tuesday"/>
    <x v="1"/>
    <n v="6"/>
    <n v="14275.5"/>
    <s v="Lalita Patel"/>
    <n v="45"/>
    <x v="10"/>
    <s v="Cash"/>
    <n v="3"/>
    <s v="Vivo Y51"/>
  </r>
  <r>
    <n v="186"/>
    <n v="30"/>
    <n v="11"/>
    <n v="2021"/>
    <s v="Tuesday"/>
    <x v="3"/>
    <n v="5"/>
    <n v="61255.48"/>
    <s v="Nikhil Jain"/>
    <n v="39"/>
    <x v="17"/>
    <s v="Cash"/>
    <n v="5"/>
    <s v="Galaxy S21"/>
  </r>
  <r>
    <n v="187"/>
    <n v="30"/>
    <n v="11"/>
    <n v="2021"/>
    <s v="Tuesday"/>
    <x v="0"/>
    <n v="1"/>
    <n v="56898.13"/>
    <s v="Lata Chaudhary"/>
    <n v="22"/>
    <x v="1"/>
    <s v="Credit Card"/>
    <n v="5"/>
    <s v="Mi 11"/>
  </r>
  <r>
    <n v="188"/>
    <n v="1"/>
    <n v="12"/>
    <n v="2021"/>
    <s v="Wednesday"/>
    <x v="0"/>
    <n v="4"/>
    <n v="16210.78"/>
    <s v="Neeta Menon"/>
    <n v="59"/>
    <x v="4"/>
    <s v="Credit Card"/>
    <n v="3"/>
    <s v="Redmi Note 10"/>
  </r>
  <r>
    <n v="189"/>
    <n v="1"/>
    <n v="12"/>
    <n v="2021"/>
    <s v="Wednesday"/>
    <x v="4"/>
    <n v="6"/>
    <n v="16444.86"/>
    <s v="Sachin Yadav"/>
    <n v="25"/>
    <x v="8"/>
    <s v="Credit Card"/>
    <n v="3"/>
    <s v="iPhone SE"/>
  </r>
  <r>
    <n v="190"/>
    <n v="1"/>
    <n v="12"/>
    <n v="2021"/>
    <s v="Wednesday"/>
    <x v="0"/>
    <n v="4"/>
    <n v="16069.83"/>
    <s v="Sachin Goyal"/>
    <n v="55"/>
    <x v="18"/>
    <s v="Cash"/>
    <n v="3"/>
    <s v="Redmi 9"/>
  </r>
  <r>
    <n v="191"/>
    <n v="1"/>
    <n v="12"/>
    <n v="2021"/>
    <s v="Wednesday"/>
    <x v="2"/>
    <n v="9"/>
    <n v="10679.96"/>
    <s v="Shruti Chaudhary"/>
    <n v="45"/>
    <x v="4"/>
    <s v="Cash"/>
    <n v="5"/>
    <s v="OnePlus 8T"/>
  </r>
  <r>
    <n v="192"/>
    <n v="2"/>
    <n v="12"/>
    <n v="2021"/>
    <s v="Thursday"/>
    <x v="0"/>
    <n v="5"/>
    <n v="42918.06"/>
    <s v="Sneha Prasad"/>
    <n v="29"/>
    <x v="1"/>
    <s v="Debit Card"/>
    <n v="5"/>
    <s v="Redmi Note 10"/>
  </r>
  <r>
    <n v="193"/>
    <n v="2"/>
    <n v="12"/>
    <n v="2021"/>
    <s v="Thursday"/>
    <x v="4"/>
    <n v="8"/>
    <n v="68403.66"/>
    <s v="Sunil Varma"/>
    <n v="42"/>
    <x v="8"/>
    <s v="UPI"/>
    <n v="5"/>
    <s v="iPhone SE"/>
  </r>
  <r>
    <n v="194"/>
    <n v="2"/>
    <n v="12"/>
    <n v="2021"/>
    <s v="Thursday"/>
    <x v="0"/>
    <n v="9"/>
    <n v="36321.08"/>
    <s v="Krishna Roy"/>
    <n v="55"/>
    <x v="4"/>
    <s v="Credit Card"/>
    <n v="5"/>
    <s v="Redmi Note 10"/>
  </r>
  <r>
    <n v="195"/>
    <n v="3"/>
    <n v="12"/>
    <n v="2021"/>
    <s v="Friday"/>
    <x v="2"/>
    <n v="5"/>
    <n v="42445.45"/>
    <s v="Vinod Kumar"/>
    <n v="32"/>
    <x v="2"/>
    <s v="Cash"/>
    <n v="5"/>
    <s v="OnePlus 9"/>
  </r>
  <r>
    <n v="196"/>
    <n v="3"/>
    <n v="12"/>
    <n v="2021"/>
    <s v="Friday"/>
    <x v="3"/>
    <n v="6"/>
    <n v="68078.19"/>
    <s v="Sanjay Das"/>
    <n v="58"/>
    <x v="4"/>
    <s v="UPI"/>
    <n v="5"/>
    <s v="Galaxy A51"/>
  </r>
  <r>
    <n v="197"/>
    <n v="3"/>
    <n v="12"/>
    <n v="2021"/>
    <s v="Friday"/>
    <x v="4"/>
    <n v="1"/>
    <n v="25310.93"/>
    <s v="Neeta Menon"/>
    <n v="51"/>
    <x v="1"/>
    <s v="Credit Card"/>
    <n v="3"/>
    <s v="iPhone 12"/>
  </r>
  <r>
    <n v="198"/>
    <n v="3"/>
    <n v="12"/>
    <n v="2021"/>
    <s v="Friday"/>
    <x v="3"/>
    <n v="7"/>
    <n v="61508.22"/>
    <s v="Anand Bhattacharya"/>
    <n v="30"/>
    <x v="1"/>
    <s v="Credit Card"/>
    <n v="4"/>
    <s v="Galaxy S21"/>
  </r>
  <r>
    <n v="199"/>
    <n v="4"/>
    <n v="12"/>
    <n v="2021"/>
    <s v="Saturday"/>
    <x v="3"/>
    <n v="4"/>
    <n v="42783.43"/>
    <s v="Tanuja Ahuja"/>
    <n v="25"/>
    <x v="2"/>
    <s v="UPI"/>
    <n v="5"/>
    <s v="Galaxy A51"/>
  </r>
  <r>
    <n v="200"/>
    <n v="4"/>
    <n v="12"/>
    <n v="2021"/>
    <s v="Saturday"/>
    <x v="3"/>
    <n v="2"/>
    <n v="44168.59"/>
    <s v="Navin Verma"/>
    <n v="30"/>
    <x v="6"/>
    <s v="UPI"/>
    <n v="5"/>
    <s v="Galaxy Note 20"/>
  </r>
  <r>
    <n v="201"/>
    <n v="4"/>
    <n v="12"/>
    <n v="2021"/>
    <s v="Saturday"/>
    <x v="1"/>
    <n v="5"/>
    <n v="30590.43"/>
    <s v="Bhavana Varma"/>
    <n v="53"/>
    <x v="3"/>
    <s v="UPI"/>
    <n v="5"/>
    <s v="Vivo Y51"/>
  </r>
  <r>
    <n v="202"/>
    <n v="4"/>
    <n v="12"/>
    <n v="2021"/>
    <s v="Saturday"/>
    <x v="1"/>
    <n v="3"/>
    <n v="43695.06"/>
    <s v="Neeta Ghosh"/>
    <n v="23"/>
    <x v="15"/>
    <s v="Cash"/>
    <n v="5"/>
    <s v="Vivo V20"/>
  </r>
  <r>
    <n v="203"/>
    <n v="5"/>
    <n v="12"/>
    <n v="2021"/>
    <s v="Sunday"/>
    <x v="3"/>
    <n v="6"/>
    <n v="14388.55"/>
    <s v="Umesh Dutta"/>
    <n v="55"/>
    <x v="7"/>
    <s v="Debit Card"/>
    <n v="5"/>
    <s v="Galaxy Note 20"/>
  </r>
  <r>
    <n v="204"/>
    <n v="5"/>
    <n v="12"/>
    <n v="2021"/>
    <s v="Sunday"/>
    <x v="4"/>
    <n v="8"/>
    <n v="55878.61"/>
    <s v="Lalita Dutta"/>
    <n v="49"/>
    <x v="13"/>
    <s v="Credit Card"/>
    <n v="4"/>
    <s v="iPhone SE"/>
  </r>
  <r>
    <n v="205"/>
    <n v="5"/>
    <n v="12"/>
    <n v="2021"/>
    <s v="Sunday"/>
    <x v="2"/>
    <n v="7"/>
    <n v="27081.27"/>
    <s v="Kiran Mathur"/>
    <n v="38"/>
    <x v="1"/>
    <s v="Credit Card"/>
    <n v="5"/>
    <s v="OnePlus Nord"/>
  </r>
  <r>
    <n v="206"/>
    <n v="6"/>
    <n v="12"/>
    <n v="2021"/>
    <s v="Monday"/>
    <x v="2"/>
    <n v="3"/>
    <n v="63256.5"/>
    <s v="Sumit Malhotra"/>
    <n v="24"/>
    <x v="2"/>
    <s v="UPI"/>
    <n v="5"/>
    <s v="OnePlus Nord"/>
  </r>
  <r>
    <n v="207"/>
    <n v="6"/>
    <n v="12"/>
    <n v="2021"/>
    <s v="Monday"/>
    <x v="0"/>
    <n v="8"/>
    <n v="32071.040000000001"/>
    <s v="Sneha Jain"/>
    <n v="43"/>
    <x v="11"/>
    <s v="Cash"/>
    <n v="5"/>
    <s v="Redmi Note 10"/>
  </r>
  <r>
    <n v="208"/>
    <n v="6"/>
    <n v="12"/>
    <n v="2021"/>
    <s v="Monday"/>
    <x v="4"/>
    <n v="2"/>
    <n v="18569.45"/>
    <s v="Sanjay Pathak"/>
    <n v="32"/>
    <x v="1"/>
    <s v="UPI"/>
    <n v="4"/>
    <s v="iPhone SE"/>
  </r>
  <r>
    <n v="209"/>
    <n v="7"/>
    <n v="12"/>
    <n v="2021"/>
    <s v="Tuesday"/>
    <x v="1"/>
    <n v="9"/>
    <n v="51752.89"/>
    <s v="Bhavana Yadav"/>
    <n v="59"/>
    <x v="1"/>
    <s v="Cash"/>
    <n v="5"/>
    <s v="Vivo V20"/>
  </r>
  <r>
    <n v="210"/>
    <n v="7"/>
    <n v="12"/>
    <n v="2021"/>
    <s v="Tuesday"/>
    <x v="3"/>
    <n v="4"/>
    <n v="19874.689999999999"/>
    <s v="Sanjay Sheth"/>
    <n v="40"/>
    <x v="14"/>
    <s v="Debit Card"/>
    <n v="5"/>
    <s v="Galaxy S21"/>
  </r>
  <r>
    <n v="211"/>
    <n v="7"/>
    <n v="12"/>
    <n v="2021"/>
    <s v="Tuesday"/>
    <x v="0"/>
    <n v="1"/>
    <n v="55220.83"/>
    <s v="Navin Sharma"/>
    <n v="55"/>
    <x v="14"/>
    <s v="Credit Card"/>
    <n v="5"/>
    <s v="Redmi 9"/>
  </r>
  <r>
    <n v="212"/>
    <n v="8"/>
    <n v="12"/>
    <n v="2021"/>
    <s v="Wednesday"/>
    <x v="2"/>
    <n v="8"/>
    <n v="68086.73"/>
    <s v="Priya Teja"/>
    <n v="58"/>
    <x v="1"/>
    <s v="Credit Card"/>
    <n v="4"/>
    <s v="OnePlus Nord"/>
  </r>
  <r>
    <n v="213"/>
    <n v="8"/>
    <n v="12"/>
    <n v="2021"/>
    <s v="Wednesday"/>
    <x v="1"/>
    <n v="7"/>
    <n v="56773.17"/>
    <s v="Sunita Teja"/>
    <n v="32"/>
    <x v="8"/>
    <s v="Cash"/>
    <n v="5"/>
    <s v="Vivo V20"/>
  </r>
  <r>
    <n v="214"/>
    <n v="8"/>
    <n v="12"/>
    <n v="2021"/>
    <s v="Wednesday"/>
    <x v="1"/>
    <n v="5"/>
    <n v="11346.95"/>
    <s v="Priya Varma"/>
    <n v="57"/>
    <x v="13"/>
    <s v="Debit Card"/>
    <n v="4"/>
    <s v="Vivo S1"/>
  </r>
  <r>
    <n v="215"/>
    <n v="9"/>
    <n v="12"/>
    <n v="2021"/>
    <s v="Thursday"/>
    <x v="3"/>
    <n v="5"/>
    <n v="45993.15"/>
    <s v="Ravi Sharma"/>
    <n v="33"/>
    <x v="2"/>
    <s v="Debit Card"/>
    <n v="3"/>
    <s v="Galaxy Note 20"/>
  </r>
  <r>
    <n v="216"/>
    <n v="9"/>
    <n v="12"/>
    <n v="2021"/>
    <s v="Thursday"/>
    <x v="2"/>
    <n v="7"/>
    <n v="51724.639999999999"/>
    <s v="Lalita Shah"/>
    <n v="49"/>
    <x v="6"/>
    <s v="Credit Card"/>
    <n v="5"/>
    <s v="OnePlus 9"/>
  </r>
  <r>
    <n v="217"/>
    <n v="9"/>
    <n v="12"/>
    <n v="2021"/>
    <s v="Thursday"/>
    <x v="4"/>
    <n v="5"/>
    <n v="59527.5"/>
    <s v="Radha Jain"/>
    <n v="54"/>
    <x v="18"/>
    <s v="Credit Card"/>
    <n v="5"/>
    <s v="iPhone 12"/>
  </r>
  <r>
    <n v="218"/>
    <n v="10"/>
    <n v="12"/>
    <n v="2021"/>
    <s v="Friday"/>
    <x v="1"/>
    <n v="8"/>
    <n v="13360.14"/>
    <s v="Lalita Ahuja"/>
    <n v="35"/>
    <x v="1"/>
    <s v="UPI"/>
    <n v="5"/>
    <s v="Vivo S1"/>
  </r>
  <r>
    <n v="219"/>
    <n v="10"/>
    <n v="12"/>
    <n v="2021"/>
    <s v="Friday"/>
    <x v="3"/>
    <n v="6"/>
    <n v="38806.47"/>
    <s v="Aditya Deshmukh"/>
    <n v="37"/>
    <x v="4"/>
    <s v="Cash"/>
    <n v="4"/>
    <s v="Galaxy A51"/>
  </r>
  <r>
    <n v="220"/>
    <n v="10"/>
    <n v="12"/>
    <n v="2021"/>
    <s v="Friday"/>
    <x v="4"/>
    <n v="5"/>
    <n v="42122.25"/>
    <s v="Sumit Verma"/>
    <n v="19"/>
    <x v="4"/>
    <s v="Credit Card"/>
    <n v="4"/>
    <s v="iPhone 12"/>
  </r>
  <r>
    <n v="221"/>
    <n v="11"/>
    <n v="12"/>
    <n v="2021"/>
    <s v="Saturday"/>
    <x v="2"/>
    <n v="9"/>
    <n v="20147.490000000002"/>
    <s v="Kiran Rathod"/>
    <n v="40"/>
    <x v="8"/>
    <s v="Debit Card"/>
    <n v="4"/>
    <s v="OnePlus 9"/>
  </r>
  <r>
    <n v="222"/>
    <n v="11"/>
    <n v="12"/>
    <n v="2021"/>
    <s v="Saturday"/>
    <x v="1"/>
    <n v="2"/>
    <n v="29346.99"/>
    <s v="Krishna Menon"/>
    <n v="47"/>
    <x v="14"/>
    <s v="Debit Card"/>
    <n v="5"/>
    <s v="Vivo V20"/>
  </r>
  <r>
    <n v="223"/>
    <n v="11"/>
    <n v="12"/>
    <n v="2021"/>
    <s v="Saturday"/>
    <x v="4"/>
    <n v="1"/>
    <n v="36413.300000000003"/>
    <s v="Pankaj Mehta"/>
    <n v="20"/>
    <x v="3"/>
    <s v="Credit Card"/>
    <n v="5"/>
    <s v="iPhone SE"/>
  </r>
  <r>
    <n v="224"/>
    <n v="12"/>
    <n v="12"/>
    <n v="2021"/>
    <s v="Sunday"/>
    <x v="4"/>
    <n v="8"/>
    <n v="59992.58"/>
    <s v="Sanjay Joshi"/>
    <n v="56"/>
    <x v="0"/>
    <s v="Debit Card"/>
    <n v="5"/>
    <s v="iPhone 12"/>
  </r>
  <r>
    <n v="225"/>
    <n v="12"/>
    <n v="12"/>
    <n v="2021"/>
    <s v="Sunday"/>
    <x v="4"/>
    <n v="3"/>
    <n v="65764.45"/>
    <s v="Pankaj Shah"/>
    <n v="18"/>
    <x v="1"/>
    <s v="Cash"/>
    <n v="5"/>
    <s v="iPhone 11"/>
  </r>
  <r>
    <n v="226"/>
    <n v="12"/>
    <n v="12"/>
    <n v="2021"/>
    <s v="Sunday"/>
    <x v="1"/>
    <n v="7"/>
    <n v="47705.37"/>
    <s v="Monika Deshmukh"/>
    <n v="58"/>
    <x v="18"/>
    <s v="Debit Card"/>
    <n v="4"/>
    <s v="Vivo Y51"/>
  </r>
  <r>
    <n v="227"/>
    <n v="13"/>
    <n v="12"/>
    <n v="2021"/>
    <s v="Monday"/>
    <x v="1"/>
    <n v="8"/>
    <n v="33696.71"/>
    <s v="Bhavana Jain"/>
    <n v="39"/>
    <x v="1"/>
    <s v="Debit Card"/>
    <n v="3"/>
    <s v="Vivo S1"/>
  </r>
  <r>
    <n v="228"/>
    <n v="13"/>
    <n v="12"/>
    <n v="2021"/>
    <s v="Monday"/>
    <x v="0"/>
    <n v="6"/>
    <n v="25241.86"/>
    <s v="Ramesh Nambiar"/>
    <n v="46"/>
    <x v="1"/>
    <s v="Credit Card"/>
    <n v="5"/>
    <s v="Redmi Note 10"/>
  </r>
  <r>
    <n v="229"/>
    <n v="13"/>
    <n v="12"/>
    <n v="2021"/>
    <s v="Monday"/>
    <x v="2"/>
    <n v="9"/>
    <n v="68928.11"/>
    <s v="Sunil Gupta"/>
    <n v="31"/>
    <x v="1"/>
    <s v="Cash"/>
    <n v="4"/>
    <s v="OnePlus 9"/>
  </r>
  <r>
    <n v="230"/>
    <n v="13"/>
    <n v="12"/>
    <n v="2021"/>
    <s v="Monday"/>
    <x v="3"/>
    <n v="7"/>
    <n v="68981.2"/>
    <s v="Nikhil Rathod"/>
    <n v="45"/>
    <x v="4"/>
    <s v="Cash"/>
    <n v="5"/>
    <s v="Galaxy Note 20"/>
  </r>
  <r>
    <n v="231"/>
    <n v="14"/>
    <n v="12"/>
    <n v="2021"/>
    <s v="Tuesday"/>
    <x v="4"/>
    <n v="5"/>
    <n v="65498.62"/>
    <s v="Vijay Shah"/>
    <n v="38"/>
    <x v="16"/>
    <s v="UPI"/>
    <n v="4"/>
    <s v="iPhone 12"/>
  </r>
  <r>
    <n v="232"/>
    <n v="14"/>
    <n v="12"/>
    <n v="2021"/>
    <s v="Tuesday"/>
    <x v="0"/>
    <n v="8"/>
    <n v="57140.15"/>
    <s v="Bhavana Jain"/>
    <n v="49"/>
    <x v="1"/>
    <s v="Cash"/>
    <n v="5"/>
    <s v="Redmi 9"/>
  </r>
  <r>
    <n v="233"/>
    <n v="14"/>
    <n v="12"/>
    <n v="2021"/>
    <s v="Tuesday"/>
    <x v="3"/>
    <n v="2"/>
    <n v="29546.77"/>
    <s v="Vivek Yadav"/>
    <n v="23"/>
    <x v="1"/>
    <s v="UPI"/>
    <n v="5"/>
    <s v="Galaxy A51"/>
  </r>
  <r>
    <n v="234"/>
    <n v="14"/>
    <n v="12"/>
    <n v="2021"/>
    <s v="Tuesday"/>
    <x v="0"/>
    <n v="7"/>
    <n v="59020.03"/>
    <s v="Manoj Siddiqui"/>
    <n v="18"/>
    <x v="1"/>
    <s v="Credit Card"/>
    <n v="5"/>
    <s v="Redmi 9"/>
  </r>
  <r>
    <n v="235"/>
    <n v="15"/>
    <n v="12"/>
    <n v="2021"/>
    <s v="Wednesday"/>
    <x v="1"/>
    <n v="4"/>
    <n v="34527.58"/>
    <s v="Isha Menon"/>
    <n v="38"/>
    <x v="14"/>
    <s v="Debit Card"/>
    <n v="5"/>
    <s v="Vivo V20"/>
  </r>
  <r>
    <n v="236"/>
    <n v="15"/>
    <n v="12"/>
    <n v="2021"/>
    <s v="Wednesday"/>
    <x v="4"/>
    <n v="9"/>
    <n v="29606.39"/>
    <s v="Mala Das"/>
    <n v="21"/>
    <x v="2"/>
    <s v="Cash"/>
    <n v="5"/>
    <s v="iPhone 12"/>
  </r>
  <r>
    <n v="237"/>
    <n v="15"/>
    <n v="12"/>
    <n v="2021"/>
    <s v="Wednesday"/>
    <x v="3"/>
    <n v="1"/>
    <n v="54691.92"/>
    <s v="Kunal Malhotra"/>
    <n v="20"/>
    <x v="0"/>
    <s v="UPI"/>
    <n v="5"/>
    <s v="Galaxy Note 20"/>
  </r>
  <r>
    <n v="238"/>
    <n v="16"/>
    <n v="12"/>
    <n v="2021"/>
    <s v="Thursday"/>
    <x v="3"/>
    <n v="7"/>
    <n v="14779.24"/>
    <s v="Sunita Thakur"/>
    <n v="47"/>
    <x v="17"/>
    <s v="Cash"/>
    <n v="5"/>
    <s v="Galaxy Note 20"/>
  </r>
  <r>
    <n v="239"/>
    <n v="16"/>
    <n v="12"/>
    <n v="2021"/>
    <s v="Thursday"/>
    <x v="3"/>
    <n v="6"/>
    <n v="12913.76"/>
    <s v="Yogesh Dutta"/>
    <n v="48"/>
    <x v="1"/>
    <s v="Credit Card"/>
    <n v="3"/>
    <s v="Galaxy A51"/>
  </r>
  <r>
    <n v="240"/>
    <n v="16"/>
    <n v="12"/>
    <n v="2021"/>
    <s v="Thursday"/>
    <x v="3"/>
    <n v="8"/>
    <n v="36877.22"/>
    <s v="Isha Thakur"/>
    <n v="51"/>
    <x v="1"/>
    <s v="UPI"/>
    <n v="5"/>
    <s v="Galaxy S21"/>
  </r>
  <r>
    <n v="241"/>
    <n v="16"/>
    <n v="12"/>
    <n v="2021"/>
    <s v="Thursday"/>
    <x v="3"/>
    <n v="5"/>
    <n v="36738.33"/>
    <s v="Krishna Rathod"/>
    <n v="36"/>
    <x v="1"/>
    <s v="UPI"/>
    <n v="5"/>
    <s v="Galaxy S21"/>
  </r>
  <r>
    <n v="242"/>
    <n v="17"/>
    <n v="12"/>
    <n v="2021"/>
    <s v="Friday"/>
    <x v="0"/>
    <n v="1"/>
    <n v="63738.65"/>
    <s v="Krishna Rawat"/>
    <n v="37"/>
    <x v="2"/>
    <s v="UPI"/>
    <n v="5"/>
    <s v="Redmi 9"/>
  </r>
  <r>
    <n v="243"/>
    <n v="17"/>
    <n v="12"/>
    <n v="2021"/>
    <s v="Friday"/>
    <x v="4"/>
    <n v="1"/>
    <n v="17569.189999999999"/>
    <s v="Manoj Thakur"/>
    <n v="40"/>
    <x v="17"/>
    <s v="Credit Card"/>
    <n v="4"/>
    <s v="iPhone SE"/>
  </r>
  <r>
    <n v="244"/>
    <n v="17"/>
    <n v="12"/>
    <n v="2021"/>
    <s v="Friday"/>
    <x v="1"/>
    <n v="9"/>
    <n v="17397.04"/>
    <s v="Reena Rao"/>
    <n v="57"/>
    <x v="12"/>
    <s v="UPI"/>
    <n v="5"/>
    <s v="Vivo Y51"/>
  </r>
  <r>
    <n v="245"/>
    <n v="17"/>
    <n v="12"/>
    <n v="2021"/>
    <s v="Friday"/>
    <x v="1"/>
    <n v="6"/>
    <n v="18847.16"/>
    <s v="Anjali Nambiar"/>
    <n v="42"/>
    <x v="12"/>
    <s v="Debit Card"/>
    <n v="5"/>
    <s v="Vivo Y51"/>
  </r>
  <r>
    <n v="246"/>
    <n v="18"/>
    <n v="12"/>
    <n v="2021"/>
    <s v="Saturday"/>
    <x v="1"/>
    <n v="5"/>
    <n v="11784.18"/>
    <s v="Pooja Arora"/>
    <n v="32"/>
    <x v="1"/>
    <s v="Credit Card"/>
    <n v="3"/>
    <s v="Vivo S1"/>
  </r>
  <r>
    <n v="247"/>
    <n v="18"/>
    <n v="12"/>
    <n v="2021"/>
    <s v="Saturday"/>
    <x v="1"/>
    <n v="1"/>
    <n v="14303.9"/>
    <s v="Jyoti Varma"/>
    <n v="55"/>
    <x v="2"/>
    <s v="Debit Card"/>
    <n v="5"/>
    <s v="Vivo V20"/>
  </r>
  <r>
    <n v="248"/>
    <n v="18"/>
    <n v="12"/>
    <n v="2021"/>
    <s v="Saturday"/>
    <x v="0"/>
    <n v="6"/>
    <n v="49592.19"/>
    <s v="Tapan Chatterjee"/>
    <n v="40"/>
    <x v="1"/>
    <s v="Debit Card"/>
    <n v="4"/>
    <s v="Mi 11"/>
  </r>
  <r>
    <n v="249"/>
    <n v="18"/>
    <n v="12"/>
    <n v="2021"/>
    <s v="Saturday"/>
    <x v="2"/>
    <n v="6"/>
    <n v="35895.06"/>
    <s v="Pooja Arora"/>
    <n v="19"/>
    <x v="18"/>
    <s v="Credit Card"/>
    <n v="5"/>
    <s v="OnePlus Nord"/>
  </r>
  <r>
    <n v="250"/>
    <n v="19"/>
    <n v="12"/>
    <n v="2021"/>
    <s v="Sunday"/>
    <x v="4"/>
    <n v="3"/>
    <n v="55816.18"/>
    <s v="Bhavana Prasad"/>
    <n v="32"/>
    <x v="13"/>
    <s v="Cash"/>
    <n v="5"/>
    <s v="iPhone 12"/>
  </r>
  <r>
    <n v="251"/>
    <n v="19"/>
    <n v="12"/>
    <n v="2021"/>
    <s v="Sunday"/>
    <x v="3"/>
    <n v="8"/>
    <n v="69555.86"/>
    <s v="Manoj Dutta"/>
    <n v="52"/>
    <x v="12"/>
    <s v="Debit Card"/>
    <n v="5"/>
    <s v="Galaxy A51"/>
  </r>
  <r>
    <n v="252"/>
    <n v="19"/>
    <n v="12"/>
    <n v="2021"/>
    <s v="Sunday"/>
    <x v="2"/>
    <n v="1"/>
    <n v="49542.080000000002"/>
    <s v="Rajesh Shah"/>
    <n v="27"/>
    <x v="3"/>
    <s v="Credit Card"/>
    <n v="5"/>
    <s v="OnePlus 9"/>
  </r>
  <r>
    <n v="253"/>
    <n v="19"/>
    <n v="12"/>
    <n v="2021"/>
    <s v="Sunday"/>
    <x v="1"/>
    <n v="1"/>
    <n v="13027.33"/>
    <s v="Bina Singh"/>
    <n v="31"/>
    <x v="9"/>
    <s v="Debit Card"/>
    <n v="4"/>
    <s v="Vivo Y51"/>
  </r>
  <r>
    <n v="254"/>
    <n v="20"/>
    <n v="12"/>
    <n v="2021"/>
    <s v="Monday"/>
    <x v="2"/>
    <n v="6"/>
    <n v="16273.77"/>
    <s v="Priya Teja"/>
    <n v="44"/>
    <x v="1"/>
    <s v="UPI"/>
    <n v="5"/>
    <s v="OnePlus 9"/>
  </r>
  <r>
    <n v="255"/>
    <n v="20"/>
    <n v="12"/>
    <n v="2021"/>
    <s v="Monday"/>
    <x v="4"/>
    <n v="1"/>
    <n v="62860.25"/>
    <s v="Neeta Ahuja"/>
    <n v="31"/>
    <x v="14"/>
    <s v="Debit Card"/>
    <n v="5"/>
    <s v="iPhone 12"/>
  </r>
  <r>
    <n v="256"/>
    <n v="20"/>
    <n v="12"/>
    <n v="2021"/>
    <s v="Monday"/>
    <x v="3"/>
    <n v="6"/>
    <n v="41649.760000000002"/>
    <s v="Pankaj Gupta"/>
    <n v="52"/>
    <x v="10"/>
    <s v="Debit Card"/>
    <n v="5"/>
    <s v="Galaxy A51"/>
  </r>
  <r>
    <n v="257"/>
    <n v="21"/>
    <n v="12"/>
    <n v="2021"/>
    <s v="Tuesday"/>
    <x v="3"/>
    <n v="1"/>
    <n v="59490.23"/>
    <s v="Bina Mishra"/>
    <n v="50"/>
    <x v="1"/>
    <s v="Debit Card"/>
    <n v="5"/>
    <s v="Galaxy S21"/>
  </r>
  <r>
    <n v="258"/>
    <n v="21"/>
    <n v="12"/>
    <n v="2021"/>
    <s v="Tuesday"/>
    <x v="4"/>
    <n v="6"/>
    <n v="61396.74"/>
    <s v="Yogesh Shah"/>
    <n v="18"/>
    <x v="2"/>
    <s v="UPI"/>
    <n v="5"/>
    <s v="iPhone 11"/>
  </r>
  <r>
    <n v="259"/>
    <n v="21"/>
    <n v="12"/>
    <n v="2021"/>
    <s v="Tuesday"/>
    <x v="4"/>
    <n v="3"/>
    <n v="65660.47"/>
    <s v="Vijay Varma"/>
    <n v="51"/>
    <x v="12"/>
    <s v="Debit Card"/>
    <n v="4"/>
    <s v="iPhone SE"/>
  </r>
  <r>
    <n v="260"/>
    <n v="21"/>
    <n v="12"/>
    <n v="2021"/>
    <s v="Tuesday"/>
    <x v="1"/>
    <n v="8"/>
    <n v="66989.75"/>
    <s v="Anita Srivastava"/>
    <n v="36"/>
    <x v="13"/>
    <s v="Credit Card"/>
    <n v="5"/>
    <s v="Vivo S1"/>
  </r>
  <r>
    <n v="261"/>
    <n v="22"/>
    <n v="12"/>
    <n v="2021"/>
    <s v="Wednesday"/>
    <x v="3"/>
    <n v="6"/>
    <n v="43289.55"/>
    <s v="Kavita Teja"/>
    <n v="41"/>
    <x v="1"/>
    <s v="Debit Card"/>
    <n v="5"/>
    <s v="Galaxy A51"/>
  </r>
  <r>
    <n v="262"/>
    <n v="22"/>
    <n v="12"/>
    <n v="2021"/>
    <s v="Wednesday"/>
    <x v="2"/>
    <n v="1"/>
    <n v="30461.21"/>
    <s v="Manoj Iyer"/>
    <n v="59"/>
    <x v="2"/>
    <s v="Credit Card"/>
    <n v="4"/>
    <s v="OnePlus Nord"/>
  </r>
  <r>
    <n v="263"/>
    <n v="22"/>
    <n v="12"/>
    <n v="2021"/>
    <s v="Wednesday"/>
    <x v="0"/>
    <n v="5"/>
    <n v="67711.89"/>
    <s v="Deepika Sharma"/>
    <n v="21"/>
    <x v="2"/>
    <s v="Debit Card"/>
    <n v="4"/>
    <s v="Redmi 9"/>
  </r>
  <r>
    <n v="264"/>
    <n v="23"/>
    <n v="12"/>
    <n v="2021"/>
    <s v="Thursday"/>
    <x v="0"/>
    <n v="8"/>
    <n v="42844.38"/>
    <s v="Rohan Gupta"/>
    <n v="53"/>
    <x v="1"/>
    <s v="Debit Card"/>
    <n v="4"/>
    <s v="Redmi 9"/>
  </r>
  <r>
    <n v="265"/>
    <n v="23"/>
    <n v="12"/>
    <n v="2021"/>
    <s v="Thursday"/>
    <x v="4"/>
    <n v="3"/>
    <n v="13855.16"/>
    <s v="Bhavana Siddiqui"/>
    <n v="30"/>
    <x v="16"/>
    <s v="Debit Card"/>
    <n v="5"/>
    <s v="iPhone SE"/>
  </r>
  <r>
    <n v="266"/>
    <n v="23"/>
    <n v="12"/>
    <n v="2021"/>
    <s v="Thursday"/>
    <x v="1"/>
    <n v="6"/>
    <n v="48566.59"/>
    <s v="Ravi Arora"/>
    <n v="49"/>
    <x v="1"/>
    <s v="Cash"/>
    <n v="4"/>
    <s v="Vivo Y51"/>
  </r>
  <r>
    <n v="267"/>
    <n v="23"/>
    <n v="12"/>
    <n v="2021"/>
    <s v="Thursday"/>
    <x v="0"/>
    <n v="5"/>
    <n v="45261.09"/>
    <s v="Sunil Kapoor"/>
    <n v="26"/>
    <x v="10"/>
    <s v="Cash"/>
    <n v="3"/>
    <s v="Mi 11"/>
  </r>
  <r>
    <n v="268"/>
    <n v="24"/>
    <n v="12"/>
    <n v="2021"/>
    <s v="Friday"/>
    <x v="3"/>
    <n v="6"/>
    <n v="63747.57"/>
    <s v="Amit Ghosh"/>
    <n v="56"/>
    <x v="0"/>
    <s v="UPI"/>
    <n v="5"/>
    <s v="Galaxy A51"/>
  </r>
  <r>
    <n v="269"/>
    <n v="24"/>
    <n v="12"/>
    <n v="2021"/>
    <s v="Friday"/>
    <x v="4"/>
    <n v="1"/>
    <n v="49191.23"/>
    <s v="Pooja Arora"/>
    <n v="33"/>
    <x v="12"/>
    <s v="Credit Card"/>
    <n v="4"/>
    <s v="iPhone 12"/>
  </r>
  <r>
    <n v="270"/>
    <n v="24"/>
    <n v="12"/>
    <n v="2021"/>
    <s v="Friday"/>
    <x v="2"/>
    <n v="7"/>
    <n v="30943.15"/>
    <s v="Manoj Jain"/>
    <n v="20"/>
    <x v="2"/>
    <s v="UPI"/>
    <n v="2"/>
    <s v="OnePlus Nord"/>
  </r>
  <r>
    <n v="271"/>
    <n v="24"/>
    <n v="12"/>
    <n v="2021"/>
    <s v="Friday"/>
    <x v="4"/>
    <n v="9"/>
    <n v="67973.539999999994"/>
    <s v="Ramesh Nambiar"/>
    <n v="37"/>
    <x v="9"/>
    <s v="Credit Card"/>
    <n v="3"/>
    <s v="iPhone SE"/>
  </r>
  <r>
    <n v="272"/>
    <n v="25"/>
    <n v="12"/>
    <n v="2021"/>
    <s v="Saturday"/>
    <x v="2"/>
    <n v="2"/>
    <n v="58097.17"/>
    <s v="Kiran Ghosh"/>
    <n v="27"/>
    <x v="12"/>
    <s v="UPI"/>
    <n v="2"/>
    <s v="OnePlus Nord"/>
  </r>
  <r>
    <n v="273"/>
    <n v="25"/>
    <n v="12"/>
    <n v="2021"/>
    <s v="Saturday"/>
    <x v="4"/>
    <n v="5"/>
    <n v="47825.06"/>
    <s v="Pooja Arora"/>
    <n v="39"/>
    <x v="2"/>
    <s v="UPI"/>
    <n v="5"/>
    <s v="iPhone 12"/>
  </r>
  <r>
    <n v="274"/>
    <n v="25"/>
    <n v="12"/>
    <n v="2021"/>
    <s v="Saturday"/>
    <x v="4"/>
    <n v="4"/>
    <n v="27575.51"/>
    <s v="Arun Sheth"/>
    <n v="20"/>
    <x v="5"/>
    <s v="Debit Card"/>
    <n v="5"/>
    <s v="iPhone 11"/>
  </r>
  <r>
    <n v="275"/>
    <n v="25"/>
    <n v="12"/>
    <n v="2021"/>
    <s v="Saturday"/>
    <x v="4"/>
    <n v="6"/>
    <n v="32412.42"/>
    <s v="Pooja Joshi"/>
    <n v="28"/>
    <x v="1"/>
    <s v="Debit Card"/>
    <n v="5"/>
    <s v="iPhone 12"/>
  </r>
  <r>
    <n v="276"/>
    <n v="26"/>
    <n v="12"/>
    <n v="2021"/>
    <s v="Sunday"/>
    <x v="2"/>
    <n v="6"/>
    <n v="50198.2"/>
    <s v="Aditya Menon"/>
    <n v="42"/>
    <x v="17"/>
    <s v="Debit Card"/>
    <n v="5"/>
    <s v="OnePlus 9"/>
  </r>
  <r>
    <n v="277"/>
    <n v="26"/>
    <n v="12"/>
    <n v="2021"/>
    <s v="Sunday"/>
    <x v="2"/>
    <n v="2"/>
    <n v="14318.85"/>
    <s v="Pooja Solanki"/>
    <n v="59"/>
    <x v="1"/>
    <s v="Debit Card"/>
    <n v="5"/>
    <s v="OnePlus 9"/>
  </r>
  <r>
    <n v="278"/>
    <n v="26"/>
    <n v="12"/>
    <n v="2021"/>
    <s v="Sunday"/>
    <x v="4"/>
    <n v="2"/>
    <n v="25400.84"/>
    <s v="Anita Bhattacharya"/>
    <n v="25"/>
    <x v="1"/>
    <s v="Debit Card"/>
    <n v="5"/>
    <s v="iPhone 12"/>
  </r>
  <r>
    <n v="279"/>
    <n v="27"/>
    <n v="12"/>
    <n v="2021"/>
    <s v="Monday"/>
    <x v="0"/>
    <n v="4"/>
    <n v="52834.06"/>
    <s v="Monika Nambiar"/>
    <n v="26"/>
    <x v="1"/>
    <s v="UPI"/>
    <n v="3"/>
    <s v="Redmi 9"/>
  </r>
  <r>
    <n v="280"/>
    <n v="27"/>
    <n v="12"/>
    <n v="2021"/>
    <s v="Monday"/>
    <x v="1"/>
    <n v="1"/>
    <n v="38801.11"/>
    <s v="Kiran Jain"/>
    <n v="32"/>
    <x v="12"/>
    <s v="Credit Card"/>
    <n v="5"/>
    <s v="Vivo Y51"/>
  </r>
  <r>
    <n v="281"/>
    <n v="27"/>
    <n v="12"/>
    <n v="2021"/>
    <s v="Monday"/>
    <x v="1"/>
    <n v="9"/>
    <n v="34143.61"/>
    <s v="Umesh Rawat"/>
    <n v="49"/>
    <x v="2"/>
    <s v="Cash"/>
    <n v="3"/>
    <s v="Vivo V20"/>
  </r>
  <r>
    <n v="282"/>
    <n v="27"/>
    <n v="12"/>
    <n v="2021"/>
    <s v="Monday"/>
    <x v="1"/>
    <n v="7"/>
    <n v="19087.46"/>
    <s v="Tapan Singh"/>
    <n v="20"/>
    <x v="12"/>
    <s v="Cash"/>
    <n v="4"/>
    <s v="Vivo Y51"/>
  </r>
  <r>
    <n v="283"/>
    <n v="28"/>
    <n v="12"/>
    <n v="2021"/>
    <s v="Tuesday"/>
    <x v="2"/>
    <n v="7"/>
    <n v="36510.94"/>
    <s v="Isha Ghosh"/>
    <n v="21"/>
    <x v="8"/>
    <s v="Credit Card"/>
    <n v="3"/>
    <s v="OnePlus Nord"/>
  </r>
  <r>
    <n v="284"/>
    <n v="28"/>
    <n v="12"/>
    <n v="2021"/>
    <s v="Tuesday"/>
    <x v="2"/>
    <n v="3"/>
    <n v="56241.52"/>
    <s v="Jyoti Iyer"/>
    <n v="47"/>
    <x v="15"/>
    <s v="Cash"/>
    <n v="5"/>
    <s v="OnePlus Nord"/>
  </r>
  <r>
    <n v="285"/>
    <n v="28"/>
    <n v="12"/>
    <n v="2021"/>
    <s v="Tuesday"/>
    <x v="0"/>
    <n v="3"/>
    <n v="25840.77"/>
    <s v="Monika Sharma"/>
    <n v="30"/>
    <x v="1"/>
    <s v="UPI"/>
    <n v="5"/>
    <s v="Mi 11"/>
  </r>
  <r>
    <n v="286"/>
    <n v="29"/>
    <n v="12"/>
    <n v="2021"/>
    <s v="Wednesday"/>
    <x v="1"/>
    <n v="1"/>
    <n v="10323.91"/>
    <s v="Nikhil Bhatnagar"/>
    <n v="38"/>
    <x v="18"/>
    <s v="Credit Card"/>
    <n v="3"/>
    <s v="Vivo S1"/>
  </r>
  <r>
    <n v="287"/>
    <n v="29"/>
    <n v="12"/>
    <n v="2021"/>
    <s v="Wednesday"/>
    <x v="1"/>
    <n v="3"/>
    <n v="50110.29"/>
    <s v="Devendra Pathak"/>
    <n v="58"/>
    <x v="4"/>
    <s v="Credit Card"/>
    <n v="5"/>
    <s v="Vivo Y51"/>
  </r>
  <r>
    <n v="288"/>
    <n v="29"/>
    <n v="12"/>
    <n v="2021"/>
    <s v="Wednesday"/>
    <x v="4"/>
    <n v="3"/>
    <n v="68357.600000000006"/>
    <s v="Manoj Pathak"/>
    <n v="36"/>
    <x v="7"/>
    <s v="Cash"/>
    <n v="3"/>
    <s v="iPhone 12"/>
  </r>
  <r>
    <n v="289"/>
    <n v="29"/>
    <n v="12"/>
    <n v="2021"/>
    <s v="Wednesday"/>
    <x v="2"/>
    <n v="4"/>
    <n v="46409.59"/>
    <s v="Anita Varma"/>
    <n v="56"/>
    <x v="12"/>
    <s v="Cash"/>
    <n v="5"/>
    <s v="OnePlus Nord"/>
  </r>
  <r>
    <n v="290"/>
    <n v="30"/>
    <n v="12"/>
    <n v="2021"/>
    <s v="Thursday"/>
    <x v="1"/>
    <n v="4"/>
    <n v="17195.310000000001"/>
    <s v="Shruti Sharma"/>
    <n v="39"/>
    <x v="1"/>
    <s v="UPI"/>
    <n v="5"/>
    <s v="Vivo S1"/>
  </r>
  <r>
    <n v="291"/>
    <n v="30"/>
    <n v="12"/>
    <n v="2021"/>
    <s v="Thursday"/>
    <x v="0"/>
    <n v="3"/>
    <n v="29243.99"/>
    <s v="Pooja Reddy"/>
    <n v="37"/>
    <x v="2"/>
    <s v="Debit Card"/>
    <n v="3"/>
    <s v="Mi 11"/>
  </r>
  <r>
    <n v="292"/>
    <n v="30"/>
    <n v="12"/>
    <n v="2021"/>
    <s v="Thursday"/>
    <x v="0"/>
    <n v="8"/>
    <n v="62058.5"/>
    <s v="Tapan Ahuja"/>
    <n v="54"/>
    <x v="3"/>
    <s v="Credit Card"/>
    <n v="5"/>
    <s v="Redmi 9"/>
  </r>
  <r>
    <n v="293"/>
    <n v="31"/>
    <n v="12"/>
    <n v="2021"/>
    <s v="Friday"/>
    <x v="1"/>
    <n v="8"/>
    <n v="23954.080000000002"/>
    <s v="Sumit Alva"/>
    <n v="48"/>
    <x v="5"/>
    <s v="Debit Card"/>
    <n v="5"/>
    <s v="Vivo V20"/>
  </r>
  <r>
    <n v="294"/>
    <n v="31"/>
    <n v="12"/>
    <n v="2021"/>
    <s v="Friday"/>
    <x v="2"/>
    <n v="1"/>
    <n v="46461.75"/>
    <s v="Lata Rawat"/>
    <n v="27"/>
    <x v="18"/>
    <s v="Cash"/>
    <n v="5"/>
    <s v="OnePlus Nord"/>
  </r>
  <r>
    <n v="295"/>
    <n v="31"/>
    <n v="12"/>
    <n v="2021"/>
    <s v="Friday"/>
    <x v="0"/>
    <n v="7"/>
    <n v="34160.269999999997"/>
    <s v="Sneha Jain"/>
    <n v="35"/>
    <x v="12"/>
    <s v="Credit Card"/>
    <n v="5"/>
    <s v="Redmi 9"/>
  </r>
  <r>
    <n v="296"/>
    <n v="31"/>
    <n v="12"/>
    <n v="2021"/>
    <s v="Friday"/>
    <x v="4"/>
    <n v="2"/>
    <n v="22470.62"/>
    <s v="Gita Sheth"/>
    <n v="56"/>
    <x v="7"/>
    <s v="Debit Card"/>
    <n v="3"/>
    <s v="iPhone SE"/>
  </r>
  <r>
    <n v="297"/>
    <n v="1"/>
    <n v="1"/>
    <n v="2022"/>
    <s v="Saturday"/>
    <x v="0"/>
    <n v="1"/>
    <n v="58804.41"/>
    <s v="Priya Bhattacharya"/>
    <n v="37"/>
    <x v="14"/>
    <s v="UPI"/>
    <n v="5"/>
    <s v="Mi 11"/>
  </r>
  <r>
    <n v="298"/>
    <n v="1"/>
    <n v="1"/>
    <n v="2022"/>
    <s v="Saturday"/>
    <x v="3"/>
    <n v="3"/>
    <n v="54569.88"/>
    <s v="Kavita Dutta"/>
    <n v="35"/>
    <x v="1"/>
    <s v="UPI"/>
    <n v="5"/>
    <s v="Galaxy S21"/>
  </r>
  <r>
    <n v="299"/>
    <n v="1"/>
    <n v="1"/>
    <n v="2022"/>
    <s v="Saturday"/>
    <x v="3"/>
    <n v="4"/>
    <n v="49695.46"/>
    <s v="Meena Joshi"/>
    <n v="28"/>
    <x v="10"/>
    <s v="UPI"/>
    <n v="4"/>
    <s v="Galaxy S21"/>
  </r>
  <r>
    <n v="300"/>
    <n v="2"/>
    <n v="1"/>
    <n v="2022"/>
    <s v="Sunday"/>
    <x v="2"/>
    <n v="6"/>
    <n v="24180.2"/>
    <s v="Vivek Siddiqui"/>
    <n v="39"/>
    <x v="2"/>
    <s v="Credit Card"/>
    <n v="5"/>
    <s v="OnePlus Nord"/>
  </r>
  <r>
    <n v="301"/>
    <n v="2"/>
    <n v="1"/>
    <n v="2022"/>
    <s v="Sunday"/>
    <x v="1"/>
    <n v="5"/>
    <n v="15871.42"/>
    <s v="Deepika Desai"/>
    <n v="35"/>
    <x v="2"/>
    <s v="Credit Card"/>
    <n v="5"/>
    <s v="Vivo S1"/>
  </r>
  <r>
    <n v="302"/>
    <n v="2"/>
    <n v="1"/>
    <n v="2022"/>
    <s v="Sunday"/>
    <x v="2"/>
    <n v="4"/>
    <n v="44569.56"/>
    <s v="Anita Deshmukh"/>
    <n v="51"/>
    <x v="15"/>
    <s v="Credit Card"/>
    <n v="5"/>
    <s v="OnePlus 8T"/>
  </r>
  <r>
    <n v="303"/>
    <n v="3"/>
    <n v="1"/>
    <n v="2022"/>
    <s v="Monday"/>
    <x v="2"/>
    <n v="8"/>
    <n v="43220.67"/>
    <s v="Anita Bhattacharya"/>
    <n v="40"/>
    <x v="17"/>
    <s v="Credit Card"/>
    <n v="5"/>
    <s v="OnePlus 9"/>
  </r>
  <r>
    <n v="304"/>
    <n v="3"/>
    <n v="1"/>
    <n v="2022"/>
    <s v="Monday"/>
    <x v="2"/>
    <n v="4"/>
    <n v="21303.1"/>
    <s v="Rajesh Kapoor"/>
    <n v="18"/>
    <x v="1"/>
    <s v="Credit Card"/>
    <n v="5"/>
    <s v="OnePlus Nord"/>
  </r>
  <r>
    <n v="305"/>
    <n v="3"/>
    <n v="1"/>
    <n v="2022"/>
    <s v="Monday"/>
    <x v="2"/>
    <n v="2"/>
    <n v="13374.8"/>
    <s v="Aditya Arora"/>
    <n v="27"/>
    <x v="14"/>
    <s v="Debit Card"/>
    <n v="5"/>
    <s v="OnePlus 9"/>
  </r>
  <r>
    <n v="306"/>
    <n v="3"/>
    <n v="1"/>
    <n v="2022"/>
    <s v="Monday"/>
    <x v="4"/>
    <n v="3"/>
    <n v="14842.51"/>
    <s v="Sunil Luthra"/>
    <n v="18"/>
    <x v="2"/>
    <s v="Debit Card"/>
    <n v="5"/>
    <s v="iPhone SE"/>
  </r>
  <r>
    <n v="307"/>
    <n v="4"/>
    <n v="1"/>
    <n v="2022"/>
    <s v="Tuesday"/>
    <x v="4"/>
    <n v="6"/>
    <n v="69566.259999999995"/>
    <s v="Isha Dutta"/>
    <n v="55"/>
    <x v="1"/>
    <s v="UPI"/>
    <n v="5"/>
    <s v="iPhone SE"/>
  </r>
  <r>
    <n v="308"/>
    <n v="4"/>
    <n v="1"/>
    <n v="2022"/>
    <s v="Tuesday"/>
    <x v="0"/>
    <n v="8"/>
    <n v="57015.03"/>
    <s v="Bhavana Mishra"/>
    <n v="56"/>
    <x v="15"/>
    <s v="Debit Card"/>
    <n v="5"/>
    <s v="Mi 11"/>
  </r>
  <r>
    <n v="309"/>
    <n v="4"/>
    <n v="1"/>
    <n v="2022"/>
    <s v="Tuesday"/>
    <x v="3"/>
    <n v="8"/>
    <n v="65319.25"/>
    <s v="Vinod Kaur"/>
    <n v="26"/>
    <x v="15"/>
    <s v="Debit Card"/>
    <n v="4"/>
    <s v="Galaxy S21"/>
  </r>
  <r>
    <n v="310"/>
    <n v="5"/>
    <n v="1"/>
    <n v="2022"/>
    <s v="Wednesday"/>
    <x v="2"/>
    <n v="9"/>
    <n v="21703.279999999999"/>
    <s v="Anita Sharma"/>
    <n v="48"/>
    <x v="13"/>
    <s v="UPI"/>
    <n v="3"/>
    <s v="OnePlus 9"/>
  </r>
  <r>
    <n v="311"/>
    <n v="5"/>
    <n v="1"/>
    <n v="2022"/>
    <s v="Wednesday"/>
    <x v="0"/>
    <n v="7"/>
    <n v="67634.11"/>
    <s v="Radha Ghosh"/>
    <n v="24"/>
    <x v="2"/>
    <s v="UPI"/>
    <n v="5"/>
    <s v="Redmi 9"/>
  </r>
  <r>
    <n v="312"/>
    <n v="5"/>
    <n v="1"/>
    <n v="2022"/>
    <s v="Wednesday"/>
    <x v="3"/>
    <n v="2"/>
    <n v="18559.259999999998"/>
    <s v="Tanuja Rao"/>
    <n v="34"/>
    <x v="1"/>
    <s v="Cash"/>
    <n v="5"/>
    <s v="Galaxy A51"/>
  </r>
  <r>
    <n v="313"/>
    <n v="5"/>
    <n v="1"/>
    <n v="2022"/>
    <s v="Wednesday"/>
    <x v="1"/>
    <n v="8"/>
    <n v="40544.910000000003"/>
    <s v="Namita Reddy"/>
    <n v="52"/>
    <x v="4"/>
    <s v="UPI"/>
    <n v="5"/>
    <s v="Vivo Y51"/>
  </r>
  <r>
    <n v="314"/>
    <n v="6"/>
    <n v="1"/>
    <n v="2022"/>
    <s v="Thursday"/>
    <x v="4"/>
    <n v="7"/>
    <n v="59781.74"/>
    <s v="Rohan Prasad"/>
    <n v="54"/>
    <x v="0"/>
    <s v="Debit Card"/>
    <n v="5"/>
    <s v="iPhone SE"/>
  </r>
  <r>
    <n v="315"/>
    <n v="6"/>
    <n v="1"/>
    <n v="2022"/>
    <s v="Thursday"/>
    <x v="3"/>
    <n v="8"/>
    <n v="30988.2"/>
    <s v="Priyanka Jain"/>
    <n v="35"/>
    <x v="16"/>
    <s v="Credit Card"/>
    <n v="5"/>
    <s v="Galaxy S21"/>
  </r>
  <r>
    <n v="316"/>
    <n v="6"/>
    <n v="1"/>
    <n v="2022"/>
    <s v="Thursday"/>
    <x v="1"/>
    <n v="3"/>
    <n v="35489.71"/>
    <s v="Anita Rawat"/>
    <n v="50"/>
    <x v="5"/>
    <s v="UPI"/>
    <n v="5"/>
    <s v="Vivo Y51"/>
  </r>
  <r>
    <n v="317"/>
    <n v="6"/>
    <n v="1"/>
    <n v="2022"/>
    <s v="Thursday"/>
    <x v="3"/>
    <n v="7"/>
    <n v="17691.11"/>
    <s v="Vivek Teja"/>
    <n v="21"/>
    <x v="6"/>
    <s v="Cash"/>
    <n v="4"/>
    <s v="Galaxy S21"/>
  </r>
  <r>
    <n v="318"/>
    <n v="7"/>
    <n v="1"/>
    <n v="2022"/>
    <s v="Friday"/>
    <x v="4"/>
    <n v="9"/>
    <n v="17375.310000000001"/>
    <s v="Anand Mehta"/>
    <n v="40"/>
    <x v="13"/>
    <s v="Debit Card"/>
    <n v="5"/>
    <s v="iPhone 11"/>
  </r>
  <r>
    <n v="319"/>
    <n v="7"/>
    <n v="1"/>
    <n v="2022"/>
    <s v="Friday"/>
    <x v="4"/>
    <n v="3"/>
    <n v="47174.09"/>
    <s v="Jyoti Mishra"/>
    <n v="28"/>
    <x v="1"/>
    <s v="Cash"/>
    <n v="3"/>
    <s v="iPhone 12"/>
  </r>
  <r>
    <n v="320"/>
    <n v="7"/>
    <n v="1"/>
    <n v="2022"/>
    <s v="Friday"/>
    <x v="0"/>
    <n v="6"/>
    <n v="50531.94"/>
    <s v="Krishna Jain"/>
    <n v="26"/>
    <x v="10"/>
    <s v="Cash"/>
    <n v="4"/>
    <s v="Redmi 9"/>
  </r>
  <r>
    <n v="321"/>
    <n v="7"/>
    <n v="1"/>
    <n v="2022"/>
    <s v="Friday"/>
    <x v="2"/>
    <n v="2"/>
    <n v="56639.95"/>
    <s v="Sneha Reddy"/>
    <n v="47"/>
    <x v="0"/>
    <s v="Debit Card"/>
    <n v="3"/>
    <s v="OnePlus 9"/>
  </r>
  <r>
    <n v="322"/>
    <n v="8"/>
    <n v="1"/>
    <n v="2022"/>
    <s v="Saturday"/>
    <x v="3"/>
    <n v="2"/>
    <n v="43400.92"/>
    <s v="Bhavana Srivastava"/>
    <n v="25"/>
    <x v="6"/>
    <s v="Cash"/>
    <n v="5"/>
    <s v="Galaxy S21"/>
  </r>
  <r>
    <n v="323"/>
    <n v="8"/>
    <n v="1"/>
    <n v="2022"/>
    <s v="Saturday"/>
    <x v="3"/>
    <n v="5"/>
    <n v="48745.56"/>
    <s v="Ramesh Jain"/>
    <n v="57"/>
    <x v="4"/>
    <s v="Debit Card"/>
    <n v="5"/>
    <s v="Galaxy Note 20"/>
  </r>
  <r>
    <n v="324"/>
    <n v="8"/>
    <n v="1"/>
    <n v="2022"/>
    <s v="Saturday"/>
    <x v="1"/>
    <n v="5"/>
    <n v="10811.04"/>
    <s v="Yogesh Sharma"/>
    <n v="22"/>
    <x v="13"/>
    <s v="Cash"/>
    <n v="4"/>
    <s v="Vivo V20"/>
  </r>
  <r>
    <n v="325"/>
    <n v="8"/>
    <n v="1"/>
    <n v="2022"/>
    <s v="Saturday"/>
    <x v="4"/>
    <n v="7"/>
    <n v="19730.240000000002"/>
    <s v="Anjali Patel"/>
    <n v="29"/>
    <x v="8"/>
    <s v="Credit Card"/>
    <n v="3"/>
    <s v="iPhone SE"/>
  </r>
  <r>
    <n v="326"/>
    <n v="9"/>
    <n v="1"/>
    <n v="2022"/>
    <s v="Sunday"/>
    <x v="3"/>
    <n v="2"/>
    <n v="69094.89"/>
    <s v="Prashant Teja"/>
    <n v="18"/>
    <x v="9"/>
    <s v="UPI"/>
    <n v="5"/>
    <s v="Galaxy Note 20"/>
  </r>
  <r>
    <n v="327"/>
    <n v="9"/>
    <n v="1"/>
    <n v="2022"/>
    <s v="Sunday"/>
    <x v="4"/>
    <n v="7"/>
    <n v="14559.61"/>
    <s v="Pooja Goyal"/>
    <n v="32"/>
    <x v="16"/>
    <s v="Credit Card"/>
    <n v="5"/>
    <s v="iPhone 11"/>
  </r>
  <r>
    <n v="328"/>
    <n v="9"/>
    <n v="1"/>
    <n v="2022"/>
    <s v="Sunday"/>
    <x v="3"/>
    <n v="5"/>
    <n v="50727.29"/>
    <s v="Neeta Malhotra"/>
    <n v="42"/>
    <x v="1"/>
    <s v="Credit Card"/>
    <n v="5"/>
    <s v="Galaxy S21"/>
  </r>
  <r>
    <n v="329"/>
    <n v="9"/>
    <n v="1"/>
    <n v="2022"/>
    <s v="Sunday"/>
    <x v="0"/>
    <n v="6"/>
    <n v="20564.96"/>
    <s v="Krishna Menon"/>
    <n v="35"/>
    <x v="8"/>
    <s v="Cash"/>
    <n v="5"/>
    <s v="Mi 11"/>
  </r>
  <r>
    <n v="330"/>
    <n v="10"/>
    <n v="1"/>
    <n v="2022"/>
    <s v="Monday"/>
    <x v="2"/>
    <n v="8"/>
    <n v="53003.12"/>
    <s v="Reena Das"/>
    <n v="55"/>
    <x v="1"/>
    <s v="UPI"/>
    <n v="5"/>
    <s v="OnePlus Nord"/>
  </r>
  <r>
    <n v="331"/>
    <n v="10"/>
    <n v="1"/>
    <n v="2022"/>
    <s v="Monday"/>
    <x v="3"/>
    <n v="4"/>
    <n v="52359.42"/>
    <s v="Ramesh Dutta"/>
    <n v="59"/>
    <x v="2"/>
    <s v="UPI"/>
    <n v="3"/>
    <s v="Galaxy S21"/>
  </r>
  <r>
    <n v="332"/>
    <n v="10"/>
    <n v="1"/>
    <n v="2022"/>
    <s v="Monday"/>
    <x v="4"/>
    <n v="7"/>
    <n v="24051.94"/>
    <s v="Harish Goyal"/>
    <n v="43"/>
    <x v="2"/>
    <s v="UPI"/>
    <n v="3"/>
    <s v="iPhone SE"/>
  </r>
  <r>
    <n v="333"/>
    <n v="10"/>
    <n v="1"/>
    <n v="2022"/>
    <s v="Monday"/>
    <x v="0"/>
    <n v="6"/>
    <n v="26178.06"/>
    <s v="Bina Rawat"/>
    <n v="57"/>
    <x v="2"/>
    <s v="Cash"/>
    <n v="5"/>
    <s v="Redmi Note 10"/>
  </r>
  <r>
    <n v="334"/>
    <n v="11"/>
    <n v="1"/>
    <n v="2022"/>
    <s v="Tuesday"/>
    <x v="3"/>
    <n v="2"/>
    <n v="49286.239999999998"/>
    <s v="Sunil Mathur"/>
    <n v="20"/>
    <x v="1"/>
    <s v="Credit Card"/>
    <n v="3"/>
    <s v="Galaxy S21"/>
  </r>
  <r>
    <n v="335"/>
    <n v="11"/>
    <n v="1"/>
    <n v="2022"/>
    <s v="Tuesday"/>
    <x v="1"/>
    <n v="8"/>
    <n v="33405.160000000003"/>
    <s v="Navin Solanki"/>
    <n v="39"/>
    <x v="14"/>
    <s v="Debit Card"/>
    <n v="5"/>
    <s v="Vivo Y51"/>
  </r>
  <r>
    <n v="336"/>
    <n v="11"/>
    <n v="1"/>
    <n v="2022"/>
    <s v="Tuesday"/>
    <x v="2"/>
    <n v="9"/>
    <n v="21672.880000000001"/>
    <s v="Kavita Bhattacharya"/>
    <n v="43"/>
    <x v="6"/>
    <s v="Debit Card"/>
    <n v="5"/>
    <s v="OnePlus 8T"/>
  </r>
  <r>
    <n v="337"/>
    <n v="11"/>
    <n v="1"/>
    <n v="2022"/>
    <s v="Tuesday"/>
    <x v="3"/>
    <n v="5"/>
    <n v="53900.78"/>
    <s v="Priyanka Alva"/>
    <n v="36"/>
    <x v="1"/>
    <s v="Debit Card"/>
    <n v="5"/>
    <s v="Galaxy Note 20"/>
  </r>
  <r>
    <n v="338"/>
    <n v="12"/>
    <n v="1"/>
    <n v="2022"/>
    <s v="Wednesday"/>
    <x v="0"/>
    <n v="4"/>
    <n v="19248.849999999999"/>
    <s v="Anand Bhattacharya"/>
    <n v="56"/>
    <x v="18"/>
    <s v="UPI"/>
    <n v="5"/>
    <s v="Redmi Note 10"/>
  </r>
  <r>
    <n v="339"/>
    <n v="12"/>
    <n v="1"/>
    <n v="2022"/>
    <s v="Wednesday"/>
    <x v="1"/>
    <n v="6"/>
    <n v="61338.62"/>
    <s v="Rohan Rathod"/>
    <n v="53"/>
    <x v="17"/>
    <s v="Debit Card"/>
    <n v="5"/>
    <s v="Vivo Y51"/>
  </r>
  <r>
    <n v="340"/>
    <n v="12"/>
    <n v="1"/>
    <n v="2022"/>
    <s v="Wednesday"/>
    <x v="0"/>
    <n v="8"/>
    <n v="40880.17"/>
    <s v="Devendra Arora"/>
    <n v="38"/>
    <x v="1"/>
    <s v="Credit Card"/>
    <n v="3"/>
    <s v="Redmi 9"/>
  </r>
  <r>
    <n v="341"/>
    <n v="12"/>
    <n v="1"/>
    <n v="2022"/>
    <s v="Wednesday"/>
    <x v="0"/>
    <n v="3"/>
    <n v="16342.04"/>
    <s v="Reena Desai"/>
    <n v="58"/>
    <x v="1"/>
    <s v="Debit Card"/>
    <n v="3"/>
    <s v="Mi 11"/>
  </r>
  <r>
    <n v="342"/>
    <n v="13"/>
    <n v="1"/>
    <n v="2022"/>
    <s v="Thursday"/>
    <x v="1"/>
    <n v="1"/>
    <n v="51644.34"/>
    <s v="Pankaj Singh"/>
    <n v="43"/>
    <x v="1"/>
    <s v="UPI"/>
    <n v="5"/>
    <s v="Vivo S1"/>
  </r>
  <r>
    <n v="343"/>
    <n v="13"/>
    <n v="1"/>
    <n v="2022"/>
    <s v="Thursday"/>
    <x v="0"/>
    <n v="4"/>
    <n v="41149.78"/>
    <s v="Pooja Joshi"/>
    <n v="30"/>
    <x v="1"/>
    <s v="UPI"/>
    <n v="5"/>
    <s v="Mi 11"/>
  </r>
  <r>
    <n v="344"/>
    <n v="13"/>
    <n v="1"/>
    <n v="2022"/>
    <s v="Thursday"/>
    <x v="1"/>
    <n v="4"/>
    <n v="27883.45"/>
    <s v="Priyanka Mishra"/>
    <n v="53"/>
    <x v="16"/>
    <s v="Debit Card"/>
    <n v="5"/>
    <s v="Vivo V20"/>
  </r>
  <r>
    <n v="345"/>
    <n v="13"/>
    <n v="1"/>
    <n v="2022"/>
    <s v="Thursday"/>
    <x v="3"/>
    <n v="1"/>
    <n v="35352.36"/>
    <s v="Bhavana Rawat"/>
    <n v="41"/>
    <x v="1"/>
    <s v="UPI"/>
    <n v="5"/>
    <s v="Galaxy Note 20"/>
  </r>
  <r>
    <n v="346"/>
    <n v="14"/>
    <n v="1"/>
    <n v="2022"/>
    <s v="Friday"/>
    <x v="1"/>
    <n v="9"/>
    <n v="27900.26"/>
    <s v="Pooja Luthra"/>
    <n v="58"/>
    <x v="1"/>
    <s v="Debit Card"/>
    <n v="4"/>
    <s v="Vivo S1"/>
  </r>
  <r>
    <n v="347"/>
    <n v="14"/>
    <n v="1"/>
    <n v="2022"/>
    <s v="Friday"/>
    <x v="1"/>
    <n v="3"/>
    <n v="25781.55"/>
    <s v="Manoj Ahuja"/>
    <n v="43"/>
    <x v="4"/>
    <s v="UPI"/>
    <n v="4"/>
    <s v="Vivo S1"/>
  </r>
  <r>
    <n v="348"/>
    <n v="14"/>
    <n v="1"/>
    <n v="2022"/>
    <s v="Friday"/>
    <x v="2"/>
    <n v="5"/>
    <n v="19816.509999999998"/>
    <s v="Lata Rawat"/>
    <n v="38"/>
    <x v="18"/>
    <s v="Cash"/>
    <n v="3"/>
    <s v="OnePlus 8T"/>
  </r>
  <r>
    <n v="349"/>
    <n v="14"/>
    <n v="1"/>
    <n v="2022"/>
    <s v="Friday"/>
    <x v="1"/>
    <n v="6"/>
    <n v="31766.03"/>
    <s v="Priyanka Sharma"/>
    <n v="35"/>
    <x v="1"/>
    <s v="Cash"/>
    <n v="4"/>
    <s v="Vivo S1"/>
  </r>
  <r>
    <n v="350"/>
    <n v="15"/>
    <n v="1"/>
    <n v="2022"/>
    <s v="Saturday"/>
    <x v="1"/>
    <n v="8"/>
    <n v="25059.23"/>
    <s v="Navin Malhotra"/>
    <n v="32"/>
    <x v="14"/>
    <s v="Credit Card"/>
    <n v="4"/>
    <s v="Vivo V20"/>
  </r>
  <r>
    <n v="351"/>
    <n v="15"/>
    <n v="1"/>
    <n v="2022"/>
    <s v="Saturday"/>
    <x v="3"/>
    <n v="6"/>
    <n v="51006.07"/>
    <s v="Kavita Iyer"/>
    <n v="32"/>
    <x v="6"/>
    <s v="Cash"/>
    <n v="5"/>
    <s v="Galaxy Note 20"/>
  </r>
  <r>
    <n v="352"/>
    <n v="15"/>
    <n v="1"/>
    <n v="2022"/>
    <s v="Saturday"/>
    <x v="2"/>
    <n v="3"/>
    <n v="51032.6"/>
    <s v="Anand Patel"/>
    <n v="23"/>
    <x v="3"/>
    <s v="Debit Card"/>
    <n v="5"/>
    <s v="OnePlus Nord"/>
  </r>
  <r>
    <n v="353"/>
    <n v="15"/>
    <n v="1"/>
    <n v="2022"/>
    <s v="Saturday"/>
    <x v="4"/>
    <n v="6"/>
    <n v="40110.410000000003"/>
    <s v="Vijay Prasad"/>
    <n v="48"/>
    <x v="0"/>
    <s v="UPI"/>
    <n v="5"/>
    <s v="iPhone 11"/>
  </r>
  <r>
    <n v="354"/>
    <n v="16"/>
    <n v="1"/>
    <n v="2022"/>
    <s v="Sunday"/>
    <x v="3"/>
    <n v="1"/>
    <n v="56676.67"/>
    <s v="Umesh Ghosh"/>
    <n v="45"/>
    <x v="11"/>
    <s v="Credit Card"/>
    <n v="5"/>
    <s v="Galaxy Note 20"/>
  </r>
  <r>
    <n v="355"/>
    <n v="16"/>
    <n v="1"/>
    <n v="2022"/>
    <s v="Sunday"/>
    <x v="3"/>
    <n v="4"/>
    <n v="60480.38"/>
    <s v="Manoj Rao"/>
    <n v="25"/>
    <x v="3"/>
    <s v="Debit Card"/>
    <n v="5"/>
    <s v="Galaxy Note 20"/>
  </r>
  <r>
    <n v="356"/>
    <n v="16"/>
    <n v="1"/>
    <n v="2022"/>
    <s v="Sunday"/>
    <x v="4"/>
    <n v="6"/>
    <n v="44785.99"/>
    <s v="Vivek Jain"/>
    <n v="46"/>
    <x v="2"/>
    <s v="Debit Card"/>
    <n v="5"/>
    <s v="iPhone 11"/>
  </r>
  <r>
    <n v="357"/>
    <n v="17"/>
    <n v="1"/>
    <n v="2022"/>
    <s v="Monday"/>
    <x v="1"/>
    <n v="7"/>
    <n v="47136.11"/>
    <s v="Aditya Patel"/>
    <n v="38"/>
    <x v="11"/>
    <s v="Credit Card"/>
    <n v="5"/>
    <s v="Vivo Y51"/>
  </r>
  <r>
    <n v="358"/>
    <n v="17"/>
    <n v="1"/>
    <n v="2022"/>
    <s v="Monday"/>
    <x v="0"/>
    <n v="3"/>
    <n v="26973.15"/>
    <s v="Harish Goyal"/>
    <n v="34"/>
    <x v="2"/>
    <s v="Credit Card"/>
    <n v="4"/>
    <s v="Redmi Note 10"/>
  </r>
  <r>
    <n v="359"/>
    <n v="17"/>
    <n v="1"/>
    <n v="2022"/>
    <s v="Monday"/>
    <x v="2"/>
    <n v="9"/>
    <n v="63692.15"/>
    <s v="Sumit Siddiqui"/>
    <n v="41"/>
    <x v="2"/>
    <s v="Debit Card"/>
    <n v="5"/>
    <s v="OnePlus 8T"/>
  </r>
  <r>
    <n v="360"/>
    <n v="18"/>
    <n v="1"/>
    <n v="2022"/>
    <s v="Tuesday"/>
    <x v="0"/>
    <n v="7"/>
    <n v="11452.36"/>
    <s v="Bhavana Desai"/>
    <n v="53"/>
    <x v="1"/>
    <s v="UPI"/>
    <n v="5"/>
    <s v="Redmi Note 10"/>
  </r>
  <r>
    <n v="361"/>
    <n v="18"/>
    <n v="1"/>
    <n v="2022"/>
    <s v="Tuesday"/>
    <x v="4"/>
    <n v="1"/>
    <n v="30916.15"/>
    <s v="Ravi Sheth"/>
    <n v="48"/>
    <x v="15"/>
    <s v="Debit Card"/>
    <n v="4"/>
    <s v="iPhone 11"/>
  </r>
  <r>
    <n v="362"/>
    <n v="18"/>
    <n v="1"/>
    <n v="2022"/>
    <s v="Tuesday"/>
    <x v="3"/>
    <n v="2"/>
    <n v="53308.03"/>
    <s v="Ravi Patel"/>
    <n v="51"/>
    <x v="12"/>
    <s v="UPI"/>
    <n v="3"/>
    <s v="Galaxy A51"/>
  </r>
  <r>
    <n v="363"/>
    <n v="18"/>
    <n v="1"/>
    <n v="2022"/>
    <s v="Tuesday"/>
    <x v="3"/>
    <n v="1"/>
    <n v="14805.37"/>
    <s v="Tapan Mishra"/>
    <n v="19"/>
    <x v="1"/>
    <s v="Credit Card"/>
    <n v="5"/>
    <s v="Galaxy Note 20"/>
  </r>
  <r>
    <n v="364"/>
    <n v="19"/>
    <n v="1"/>
    <n v="2022"/>
    <s v="Wednesday"/>
    <x v="2"/>
    <n v="9"/>
    <n v="20990.17"/>
    <s v="Mala Verma"/>
    <n v="59"/>
    <x v="18"/>
    <s v="Debit Card"/>
    <n v="5"/>
    <s v="OnePlus 8T"/>
  </r>
  <r>
    <n v="365"/>
    <n v="19"/>
    <n v="1"/>
    <n v="2022"/>
    <s v="Wednesday"/>
    <x v="3"/>
    <n v="9"/>
    <n v="45357.14"/>
    <s v="Gita Roy"/>
    <n v="20"/>
    <x v="13"/>
    <s v="Cash"/>
    <n v="3"/>
    <s v="Galaxy A51"/>
  </r>
  <r>
    <n v="366"/>
    <n v="19"/>
    <n v="1"/>
    <n v="2022"/>
    <s v="Wednesday"/>
    <x v="3"/>
    <n v="7"/>
    <n v="43599.62"/>
    <s v="Vivek Rawat"/>
    <n v="47"/>
    <x v="2"/>
    <s v="Debit Card"/>
    <n v="4"/>
    <s v="Galaxy S21"/>
  </r>
  <r>
    <n v="367"/>
    <n v="19"/>
    <n v="1"/>
    <n v="2022"/>
    <s v="Wednesday"/>
    <x v="2"/>
    <n v="3"/>
    <n v="54335.7"/>
    <s v="Anita Menon"/>
    <n v="25"/>
    <x v="14"/>
    <s v="UPI"/>
    <n v="5"/>
    <s v="OnePlus 9"/>
  </r>
  <r>
    <n v="368"/>
    <n v="20"/>
    <n v="1"/>
    <n v="2022"/>
    <s v="Thursday"/>
    <x v="2"/>
    <n v="5"/>
    <n v="58756.76"/>
    <s v="Tapan Deshmukh"/>
    <n v="24"/>
    <x v="1"/>
    <s v="Debit Card"/>
    <n v="4"/>
    <s v="OnePlus 9"/>
  </r>
  <r>
    <n v="369"/>
    <n v="20"/>
    <n v="1"/>
    <n v="2022"/>
    <s v="Thursday"/>
    <x v="4"/>
    <n v="4"/>
    <n v="17714.77"/>
    <s v="Shruti Thakur"/>
    <n v="29"/>
    <x v="11"/>
    <s v="UPI"/>
    <n v="4"/>
    <s v="iPhone 12"/>
  </r>
  <r>
    <n v="370"/>
    <n v="20"/>
    <n v="1"/>
    <n v="2022"/>
    <s v="Thursday"/>
    <x v="3"/>
    <n v="7"/>
    <n v="11102.86"/>
    <s v="Reena Teja"/>
    <n v="36"/>
    <x v="1"/>
    <s v="Cash"/>
    <n v="4"/>
    <s v="Galaxy A51"/>
  </r>
  <r>
    <n v="371"/>
    <n v="20"/>
    <n v="1"/>
    <n v="2022"/>
    <s v="Thursday"/>
    <x v="3"/>
    <n v="9"/>
    <n v="51378.31"/>
    <s v="Isha Dutta"/>
    <n v="43"/>
    <x v="8"/>
    <s v="Credit Card"/>
    <n v="5"/>
    <s v="Galaxy S21"/>
  </r>
  <r>
    <n v="372"/>
    <n v="21"/>
    <n v="1"/>
    <n v="2022"/>
    <s v="Friday"/>
    <x v="4"/>
    <n v="2"/>
    <n v="28083.51"/>
    <s v="Manoj Pathak"/>
    <n v="45"/>
    <x v="5"/>
    <s v="Cash"/>
    <n v="3"/>
    <s v="iPhone 12"/>
  </r>
  <r>
    <n v="373"/>
    <n v="21"/>
    <n v="1"/>
    <n v="2022"/>
    <s v="Friday"/>
    <x v="1"/>
    <n v="8"/>
    <n v="47559.03"/>
    <s v="Tapan Bhattacharya"/>
    <n v="32"/>
    <x v="7"/>
    <s v="UPI"/>
    <n v="3"/>
    <s v="Vivo V20"/>
  </r>
  <r>
    <n v="374"/>
    <n v="21"/>
    <n v="1"/>
    <n v="2022"/>
    <s v="Friday"/>
    <x v="1"/>
    <n v="9"/>
    <n v="19032.68"/>
    <s v="Anjali Srivastava"/>
    <n v="31"/>
    <x v="8"/>
    <s v="Credit Card"/>
    <n v="5"/>
    <s v="Vivo V20"/>
  </r>
  <r>
    <n v="375"/>
    <n v="21"/>
    <n v="1"/>
    <n v="2022"/>
    <s v="Friday"/>
    <x v="1"/>
    <n v="9"/>
    <n v="38142.400000000001"/>
    <s v="Anand Reddy"/>
    <n v="31"/>
    <x v="3"/>
    <s v="Credit Card"/>
    <n v="5"/>
    <s v="Vivo V20"/>
  </r>
  <r>
    <n v="376"/>
    <n v="22"/>
    <n v="1"/>
    <n v="2022"/>
    <s v="Saturday"/>
    <x v="4"/>
    <n v="7"/>
    <n v="40265.480000000003"/>
    <s v="Bhavana Jain"/>
    <n v="20"/>
    <x v="3"/>
    <s v="Debit Card"/>
    <n v="4"/>
    <s v="iPhone 11"/>
  </r>
  <r>
    <n v="377"/>
    <n v="22"/>
    <n v="1"/>
    <n v="2022"/>
    <s v="Saturday"/>
    <x v="3"/>
    <n v="9"/>
    <n v="45104.67"/>
    <s v="Tapan Rawat"/>
    <n v="46"/>
    <x v="1"/>
    <s v="Cash"/>
    <n v="5"/>
    <s v="Galaxy Note 20"/>
  </r>
  <r>
    <n v="378"/>
    <n v="22"/>
    <n v="1"/>
    <n v="2022"/>
    <s v="Saturday"/>
    <x v="4"/>
    <n v="9"/>
    <n v="40790.199999999997"/>
    <s v="Namita Sheth"/>
    <n v="23"/>
    <x v="18"/>
    <s v="UPI"/>
    <n v="3"/>
    <s v="iPhone 12"/>
  </r>
  <r>
    <n v="379"/>
    <n v="22"/>
    <n v="1"/>
    <n v="2022"/>
    <s v="Saturday"/>
    <x v="4"/>
    <n v="3"/>
    <n v="39741.449999999997"/>
    <s v="Arun Luthra"/>
    <n v="40"/>
    <x v="1"/>
    <s v="UPI"/>
    <n v="3"/>
    <s v="iPhone SE"/>
  </r>
  <r>
    <n v="380"/>
    <n v="23"/>
    <n v="1"/>
    <n v="2022"/>
    <s v="Sunday"/>
    <x v="1"/>
    <n v="4"/>
    <n v="29964.05"/>
    <s v="Mala Roy"/>
    <n v="45"/>
    <x v="4"/>
    <s v="Credit Card"/>
    <n v="4"/>
    <s v="Vivo S1"/>
  </r>
  <r>
    <n v="381"/>
    <n v="23"/>
    <n v="1"/>
    <n v="2022"/>
    <s v="Sunday"/>
    <x v="0"/>
    <n v="2"/>
    <n v="14270.81"/>
    <s v="Devendra Varma"/>
    <n v="31"/>
    <x v="2"/>
    <s v="Debit Card"/>
    <n v="5"/>
    <s v="Mi 11"/>
  </r>
  <r>
    <n v="382"/>
    <n v="23"/>
    <n v="1"/>
    <n v="2022"/>
    <s v="Sunday"/>
    <x v="3"/>
    <n v="3"/>
    <n v="15371.21"/>
    <s v="Ravi Dutta"/>
    <n v="31"/>
    <x v="1"/>
    <s v="UPI"/>
    <n v="4"/>
    <s v="Galaxy A51"/>
  </r>
  <r>
    <n v="383"/>
    <n v="23"/>
    <n v="1"/>
    <n v="2022"/>
    <s v="Sunday"/>
    <x v="1"/>
    <n v="5"/>
    <n v="36026.699999999997"/>
    <s v="Ramesh Das"/>
    <n v="37"/>
    <x v="5"/>
    <s v="Debit Card"/>
    <n v="4"/>
    <s v="Vivo Y51"/>
  </r>
  <r>
    <n v="384"/>
    <n v="24"/>
    <n v="1"/>
    <n v="2022"/>
    <s v="Monday"/>
    <x v="0"/>
    <n v="5"/>
    <n v="31347.59"/>
    <s v="Priya Roy"/>
    <n v="30"/>
    <x v="7"/>
    <s v="Credit Card"/>
    <n v="5"/>
    <s v="Redmi Note 10"/>
  </r>
  <r>
    <n v="385"/>
    <n v="24"/>
    <n v="1"/>
    <n v="2022"/>
    <s v="Monday"/>
    <x v="0"/>
    <n v="6"/>
    <n v="40968.089999999997"/>
    <s v="Sumit Siddiqui"/>
    <n v="44"/>
    <x v="1"/>
    <s v="Credit Card"/>
    <n v="5"/>
    <s v="Redmi Note 10"/>
  </r>
  <r>
    <n v="386"/>
    <n v="24"/>
    <n v="1"/>
    <n v="2022"/>
    <s v="Monday"/>
    <x v="2"/>
    <n v="7"/>
    <n v="28290.29"/>
    <s v="Bina Siddiqui"/>
    <n v="52"/>
    <x v="10"/>
    <s v="Credit Card"/>
    <n v="5"/>
    <s v="OnePlus Nord"/>
  </r>
  <r>
    <n v="387"/>
    <n v="24"/>
    <n v="1"/>
    <n v="2022"/>
    <s v="Monday"/>
    <x v="3"/>
    <n v="7"/>
    <n v="51274.61"/>
    <s v="Kiran Rathod"/>
    <n v="19"/>
    <x v="4"/>
    <s v="Debit Card"/>
    <n v="5"/>
    <s v="Galaxy A51"/>
  </r>
  <r>
    <n v="388"/>
    <n v="25"/>
    <n v="1"/>
    <n v="2022"/>
    <s v="Tuesday"/>
    <x v="0"/>
    <n v="1"/>
    <n v="61837.29"/>
    <s v="Kunal Chaudhary"/>
    <n v="58"/>
    <x v="15"/>
    <s v="UPI"/>
    <n v="4"/>
    <s v="Redmi 9"/>
  </r>
  <r>
    <n v="389"/>
    <n v="25"/>
    <n v="1"/>
    <n v="2022"/>
    <s v="Tuesday"/>
    <x v="1"/>
    <n v="2"/>
    <n v="27931.79"/>
    <s v="Vinod Malhotra"/>
    <n v="57"/>
    <x v="10"/>
    <s v="Cash"/>
    <n v="4"/>
    <s v="Vivo V20"/>
  </r>
  <r>
    <n v="390"/>
    <n v="25"/>
    <n v="1"/>
    <n v="2022"/>
    <s v="Tuesday"/>
    <x v="2"/>
    <n v="9"/>
    <n v="21579.040000000001"/>
    <s v="Sneha Arora"/>
    <n v="41"/>
    <x v="0"/>
    <s v="Debit Card"/>
    <n v="4"/>
    <s v="OnePlus 9"/>
  </r>
  <r>
    <n v="391"/>
    <n v="25"/>
    <n v="1"/>
    <n v="2022"/>
    <s v="Tuesday"/>
    <x v="3"/>
    <n v="2"/>
    <n v="16970.830000000002"/>
    <s v="Devendra Pathak"/>
    <n v="46"/>
    <x v="2"/>
    <s v="Credit Card"/>
    <n v="4"/>
    <s v="Galaxy A51"/>
  </r>
  <r>
    <n v="392"/>
    <n v="26"/>
    <n v="1"/>
    <n v="2022"/>
    <s v="Wednesday"/>
    <x v="4"/>
    <n v="6"/>
    <n v="46975.24"/>
    <s v="Radha Alva"/>
    <n v="20"/>
    <x v="7"/>
    <s v="Cash"/>
    <n v="4"/>
    <s v="iPhone SE"/>
  </r>
  <r>
    <n v="393"/>
    <n v="26"/>
    <n v="1"/>
    <n v="2022"/>
    <s v="Wednesday"/>
    <x v="1"/>
    <n v="1"/>
    <n v="36631.360000000001"/>
    <s v="Krishna Nambiar"/>
    <n v="21"/>
    <x v="3"/>
    <s v="Cash"/>
    <n v="5"/>
    <s v="Vivo S1"/>
  </r>
  <r>
    <n v="394"/>
    <n v="26"/>
    <n v="1"/>
    <n v="2022"/>
    <s v="Wednesday"/>
    <x v="0"/>
    <n v="3"/>
    <n v="21280.94"/>
    <s v="Vijay Jain"/>
    <n v="19"/>
    <x v="3"/>
    <s v="Cash"/>
    <n v="4"/>
    <s v="Redmi 9"/>
  </r>
  <r>
    <n v="395"/>
    <n v="27"/>
    <n v="1"/>
    <n v="2022"/>
    <s v="Thursday"/>
    <x v="0"/>
    <n v="2"/>
    <n v="49188.2"/>
    <s v="Reena Deshmukh"/>
    <n v="37"/>
    <x v="2"/>
    <s v="Cash"/>
    <n v="3"/>
    <s v="Mi 11"/>
  </r>
  <r>
    <n v="396"/>
    <n v="27"/>
    <n v="1"/>
    <n v="2022"/>
    <s v="Thursday"/>
    <x v="1"/>
    <n v="3"/>
    <n v="18908.990000000002"/>
    <s v="Yogesh Alva"/>
    <n v="32"/>
    <x v="5"/>
    <s v="Cash"/>
    <n v="3"/>
    <s v="Vivo S1"/>
  </r>
  <r>
    <n v="397"/>
    <n v="27"/>
    <n v="1"/>
    <n v="2022"/>
    <s v="Thursday"/>
    <x v="0"/>
    <n v="5"/>
    <n v="43258.04"/>
    <s v="Sanjay Mehta"/>
    <n v="49"/>
    <x v="11"/>
    <s v="Credit Card"/>
    <n v="5"/>
    <s v="Redmi 9"/>
  </r>
  <r>
    <n v="398"/>
    <n v="27"/>
    <n v="1"/>
    <n v="2022"/>
    <s v="Thursday"/>
    <x v="2"/>
    <n v="6"/>
    <n v="41628.9"/>
    <s v="Neeta Yadav"/>
    <n v="59"/>
    <x v="9"/>
    <s v="UPI"/>
    <n v="5"/>
    <s v="OnePlus 8T"/>
  </r>
  <r>
    <n v="399"/>
    <n v="28"/>
    <n v="1"/>
    <n v="2022"/>
    <s v="Friday"/>
    <x v="3"/>
    <n v="9"/>
    <n v="54053.67"/>
    <s v="Gita Rathod"/>
    <n v="18"/>
    <x v="1"/>
    <s v="Cash"/>
    <n v="3"/>
    <s v="Galaxy Note 20"/>
  </r>
  <r>
    <n v="400"/>
    <n v="28"/>
    <n v="1"/>
    <n v="2022"/>
    <s v="Friday"/>
    <x v="2"/>
    <n v="4"/>
    <n v="13306.58"/>
    <s v="Vinod Chatterjee"/>
    <n v="55"/>
    <x v="2"/>
    <s v="UPI"/>
    <n v="5"/>
    <s v="OnePlus 8T"/>
  </r>
  <r>
    <n v="401"/>
    <n v="28"/>
    <n v="1"/>
    <n v="2022"/>
    <s v="Friday"/>
    <x v="0"/>
    <n v="7"/>
    <n v="63272.38"/>
    <s v="Harish Mishra"/>
    <n v="52"/>
    <x v="5"/>
    <s v="UPI"/>
    <n v="5"/>
    <s v="Mi 11"/>
  </r>
  <r>
    <n v="402"/>
    <n v="29"/>
    <n v="1"/>
    <n v="2022"/>
    <s v="Saturday"/>
    <x v="4"/>
    <n v="6"/>
    <n v="52179.5"/>
    <s v="Sneha Patel"/>
    <n v="24"/>
    <x v="7"/>
    <s v="Debit Card"/>
    <n v="5"/>
    <s v="iPhone SE"/>
  </r>
  <r>
    <n v="403"/>
    <n v="29"/>
    <n v="1"/>
    <n v="2022"/>
    <s v="Saturday"/>
    <x v="3"/>
    <n v="2"/>
    <n v="22967.56"/>
    <s v="Shruti Iyer"/>
    <n v="30"/>
    <x v="1"/>
    <s v="Credit Card"/>
    <n v="4"/>
    <s v="Galaxy S21"/>
  </r>
  <r>
    <n v="404"/>
    <n v="29"/>
    <n v="1"/>
    <n v="2022"/>
    <s v="Saturday"/>
    <x v="3"/>
    <n v="8"/>
    <n v="21004.32"/>
    <s v="Vivek Mehta"/>
    <n v="18"/>
    <x v="10"/>
    <s v="Cash"/>
    <n v="4"/>
    <s v="Galaxy S21"/>
  </r>
  <r>
    <n v="405"/>
    <n v="29"/>
    <n v="1"/>
    <n v="2022"/>
    <s v="Saturday"/>
    <x v="1"/>
    <n v="7"/>
    <n v="35899.61"/>
    <s v="Ravi Bhattacharya"/>
    <n v="31"/>
    <x v="11"/>
    <s v="UPI"/>
    <n v="5"/>
    <s v="Vivo V20"/>
  </r>
  <r>
    <n v="406"/>
    <n v="30"/>
    <n v="1"/>
    <n v="2022"/>
    <s v="Sunday"/>
    <x v="1"/>
    <n v="7"/>
    <n v="59053.919999999998"/>
    <s v="Anand Siddiqui"/>
    <n v="46"/>
    <x v="2"/>
    <s v="Debit Card"/>
    <n v="5"/>
    <s v="Vivo V20"/>
  </r>
  <r>
    <n v="407"/>
    <n v="30"/>
    <n v="1"/>
    <n v="2022"/>
    <s v="Sunday"/>
    <x v="4"/>
    <n v="8"/>
    <n v="60577"/>
    <s v="Jyoti Kumar"/>
    <n v="20"/>
    <x v="18"/>
    <s v="UPI"/>
    <n v="3"/>
    <s v="iPhone 12"/>
  </r>
  <r>
    <n v="408"/>
    <n v="30"/>
    <n v="1"/>
    <n v="2022"/>
    <s v="Sunday"/>
    <x v="3"/>
    <n v="1"/>
    <n v="41227.370000000003"/>
    <s v="Krishna Sharma"/>
    <n v="41"/>
    <x v="0"/>
    <s v="Cash"/>
    <n v="5"/>
    <s v="Galaxy S21"/>
  </r>
  <r>
    <n v="409"/>
    <n v="30"/>
    <n v="1"/>
    <n v="2022"/>
    <s v="Sunday"/>
    <x v="4"/>
    <n v="1"/>
    <n v="61648.65"/>
    <s v="Aditya Roy"/>
    <n v="18"/>
    <x v="11"/>
    <s v="Credit Card"/>
    <n v="5"/>
    <s v="iPhone 11"/>
  </r>
  <r>
    <n v="410"/>
    <n v="31"/>
    <n v="1"/>
    <n v="2022"/>
    <s v="Monday"/>
    <x v="1"/>
    <n v="8"/>
    <n v="10326.620000000001"/>
    <s v="Anita Arora"/>
    <n v="27"/>
    <x v="14"/>
    <s v="Credit Card"/>
    <n v="5"/>
    <s v="Vivo Y51"/>
  </r>
  <r>
    <n v="411"/>
    <n v="31"/>
    <n v="1"/>
    <n v="2022"/>
    <s v="Monday"/>
    <x v="1"/>
    <n v="4"/>
    <n v="12110.48"/>
    <s v="Tanuja Rao"/>
    <n v="30"/>
    <x v="2"/>
    <s v="Cash"/>
    <n v="3"/>
    <s v="Vivo V20"/>
  </r>
  <r>
    <n v="412"/>
    <n v="31"/>
    <n v="1"/>
    <n v="2022"/>
    <s v="Monday"/>
    <x v="3"/>
    <n v="5"/>
    <n v="64709.3"/>
    <s v="Kavita Bhattacharya"/>
    <n v="53"/>
    <x v="12"/>
    <s v="UPI"/>
    <n v="5"/>
    <s v="Galaxy A51"/>
  </r>
  <r>
    <n v="413"/>
    <n v="1"/>
    <n v="2"/>
    <n v="2022"/>
    <s v="Tuesday"/>
    <x v="2"/>
    <n v="8"/>
    <n v="56519.92"/>
    <s v="Harish Teja"/>
    <n v="26"/>
    <x v="8"/>
    <s v="Debit Card"/>
    <n v="5"/>
    <s v="OnePlus Nord"/>
  </r>
  <r>
    <n v="414"/>
    <n v="1"/>
    <n v="2"/>
    <n v="2022"/>
    <s v="Tuesday"/>
    <x v="0"/>
    <n v="5"/>
    <n v="37042.36"/>
    <s v="Anjali Patel"/>
    <n v="31"/>
    <x v="2"/>
    <s v="Credit Card"/>
    <n v="3"/>
    <s v="Redmi Note 10"/>
  </r>
  <r>
    <n v="415"/>
    <n v="1"/>
    <n v="2"/>
    <n v="2022"/>
    <s v="Tuesday"/>
    <x v="1"/>
    <n v="4"/>
    <n v="55216.61"/>
    <s v="Gita Teja"/>
    <n v="53"/>
    <x v="1"/>
    <s v="Credit Card"/>
    <n v="5"/>
    <s v="Vivo S1"/>
  </r>
  <r>
    <n v="416"/>
    <n v="1"/>
    <n v="2"/>
    <n v="2022"/>
    <s v="Tuesday"/>
    <x v="1"/>
    <n v="6"/>
    <n v="67338.37"/>
    <s v="Anita Varma"/>
    <n v="27"/>
    <x v="2"/>
    <s v="UPI"/>
    <n v="5"/>
    <s v="Vivo Y51"/>
  </r>
  <r>
    <n v="417"/>
    <n v="2"/>
    <n v="2"/>
    <n v="2022"/>
    <s v="Wednesday"/>
    <x v="2"/>
    <n v="5"/>
    <n v="56325.37"/>
    <s v="Aditya Menon"/>
    <n v="57"/>
    <x v="15"/>
    <s v="UPI"/>
    <n v="2"/>
    <s v="OnePlus 8T"/>
  </r>
  <r>
    <n v="418"/>
    <n v="2"/>
    <n v="2"/>
    <n v="2022"/>
    <s v="Wednesday"/>
    <x v="2"/>
    <n v="7"/>
    <n v="60542.28"/>
    <s v="Amit Srivastava"/>
    <n v="40"/>
    <x v="0"/>
    <s v="UPI"/>
    <n v="4"/>
    <s v="OnePlus Nord"/>
  </r>
  <r>
    <n v="419"/>
    <n v="2"/>
    <n v="2"/>
    <n v="2022"/>
    <s v="Wednesday"/>
    <x v="4"/>
    <n v="7"/>
    <n v="55636.39"/>
    <s v="Ayesha Menon"/>
    <n v="52"/>
    <x v="5"/>
    <s v="Debit Card"/>
    <n v="3"/>
    <s v="iPhone 12"/>
  </r>
  <r>
    <n v="420"/>
    <n v="3"/>
    <n v="2"/>
    <n v="2022"/>
    <s v="Thursday"/>
    <x v="4"/>
    <n v="4"/>
    <n v="20092.669999999998"/>
    <s v="Vivek Sheth"/>
    <n v="24"/>
    <x v="5"/>
    <s v="UPI"/>
    <n v="5"/>
    <s v="iPhone 11"/>
  </r>
  <r>
    <n v="421"/>
    <n v="3"/>
    <n v="2"/>
    <n v="2022"/>
    <s v="Thursday"/>
    <x v="0"/>
    <n v="5"/>
    <n v="60014.45"/>
    <s v="Tapan Mathur"/>
    <n v="59"/>
    <x v="2"/>
    <s v="Debit Card"/>
    <n v="5"/>
    <s v="Redmi 9"/>
  </r>
  <r>
    <n v="422"/>
    <n v="3"/>
    <n v="2"/>
    <n v="2022"/>
    <s v="Thursday"/>
    <x v="0"/>
    <n v="3"/>
    <n v="21706.53"/>
    <s v="Sneha Desai"/>
    <n v="52"/>
    <x v="7"/>
    <s v="Cash"/>
    <n v="5"/>
    <s v="Redmi 9"/>
  </r>
  <r>
    <n v="423"/>
    <n v="3"/>
    <n v="2"/>
    <n v="2022"/>
    <s v="Thursday"/>
    <x v="3"/>
    <n v="4"/>
    <n v="63556.68"/>
    <s v="Amit Prasad"/>
    <n v="19"/>
    <x v="13"/>
    <s v="Debit Card"/>
    <n v="5"/>
    <s v="Galaxy Note 20"/>
  </r>
  <r>
    <n v="424"/>
    <n v="4"/>
    <n v="2"/>
    <n v="2022"/>
    <s v="Friday"/>
    <x v="4"/>
    <n v="4"/>
    <n v="37518.99"/>
    <s v="Sumit Sharma"/>
    <n v="32"/>
    <x v="1"/>
    <s v="UPI"/>
    <n v="4"/>
    <s v="iPhone 11"/>
  </r>
  <r>
    <n v="425"/>
    <n v="4"/>
    <n v="2"/>
    <n v="2022"/>
    <s v="Friday"/>
    <x v="1"/>
    <n v="3"/>
    <n v="50618.61"/>
    <s v="Anand Joshi"/>
    <n v="26"/>
    <x v="15"/>
    <s v="Debit Card"/>
    <n v="5"/>
    <s v="Vivo V20"/>
  </r>
  <r>
    <n v="426"/>
    <n v="4"/>
    <n v="2"/>
    <n v="2022"/>
    <s v="Friday"/>
    <x v="4"/>
    <n v="5"/>
    <n v="39834.449999999997"/>
    <s v="Namita Srivastava"/>
    <n v="34"/>
    <x v="1"/>
    <s v="Debit Card"/>
    <n v="4"/>
    <s v="iPhone SE"/>
  </r>
  <r>
    <n v="427"/>
    <n v="4"/>
    <n v="2"/>
    <n v="2022"/>
    <s v="Friday"/>
    <x v="1"/>
    <n v="5"/>
    <n v="15639.46"/>
    <s v="Vivek Alva"/>
    <n v="56"/>
    <x v="9"/>
    <s v="Debit Card"/>
    <n v="2"/>
    <s v="Vivo V20"/>
  </r>
  <r>
    <n v="428"/>
    <n v="5"/>
    <n v="2"/>
    <n v="2022"/>
    <s v="Saturday"/>
    <x v="2"/>
    <n v="7"/>
    <n v="27443.34"/>
    <s v="Navin Mathur"/>
    <n v="35"/>
    <x v="11"/>
    <s v="Credit Card"/>
    <n v="2"/>
    <s v="OnePlus 8T"/>
  </r>
  <r>
    <n v="429"/>
    <n v="5"/>
    <n v="2"/>
    <n v="2022"/>
    <s v="Saturday"/>
    <x v="4"/>
    <n v="4"/>
    <n v="69023.91"/>
    <s v="Devendra Mathur"/>
    <n v="32"/>
    <x v="1"/>
    <s v="UPI"/>
    <n v="5"/>
    <s v="iPhone SE"/>
  </r>
  <r>
    <n v="430"/>
    <n v="5"/>
    <n v="2"/>
    <n v="2022"/>
    <s v="Saturday"/>
    <x v="2"/>
    <n v="4"/>
    <n v="67642.89"/>
    <s v="Isha Nair"/>
    <n v="35"/>
    <x v="1"/>
    <s v="Debit Card"/>
    <n v="4"/>
    <s v="OnePlus 8T"/>
  </r>
  <r>
    <n v="431"/>
    <n v="6"/>
    <n v="2"/>
    <n v="2022"/>
    <s v="Sunday"/>
    <x v="0"/>
    <n v="9"/>
    <n v="29229.21"/>
    <s v="Pankaj Jain"/>
    <n v="41"/>
    <x v="12"/>
    <s v="UPI"/>
    <n v="3"/>
    <s v="Mi 11"/>
  </r>
  <r>
    <n v="432"/>
    <n v="6"/>
    <n v="2"/>
    <n v="2022"/>
    <s v="Sunday"/>
    <x v="0"/>
    <n v="6"/>
    <n v="69777.81"/>
    <s v="Sachin Desai"/>
    <n v="40"/>
    <x v="11"/>
    <s v="Cash"/>
    <n v="5"/>
    <s v="Mi 11"/>
  </r>
  <r>
    <n v="433"/>
    <n v="6"/>
    <n v="2"/>
    <n v="2022"/>
    <s v="Sunday"/>
    <x v="3"/>
    <n v="4"/>
    <n v="60733.07"/>
    <s v="Kiran Malhotra"/>
    <n v="29"/>
    <x v="1"/>
    <s v="Debit Card"/>
    <n v="5"/>
    <s v="Galaxy S21"/>
  </r>
  <r>
    <n v="434"/>
    <n v="6"/>
    <n v="2"/>
    <n v="2022"/>
    <s v="Sunday"/>
    <x v="4"/>
    <n v="2"/>
    <n v="46657.57"/>
    <s v="Kiran Alva"/>
    <n v="40"/>
    <x v="1"/>
    <s v="Debit Card"/>
    <n v="2"/>
    <s v="iPhone 11"/>
  </r>
  <r>
    <n v="435"/>
    <n v="7"/>
    <n v="2"/>
    <n v="2022"/>
    <s v="Monday"/>
    <x v="2"/>
    <n v="6"/>
    <n v="12407.48"/>
    <s v="Arun Deshmukh"/>
    <n v="38"/>
    <x v="4"/>
    <s v="Cash"/>
    <n v="2"/>
    <s v="OnePlus 9"/>
  </r>
  <r>
    <n v="436"/>
    <n v="7"/>
    <n v="2"/>
    <n v="2022"/>
    <s v="Monday"/>
    <x v="1"/>
    <n v="2"/>
    <n v="64086.81"/>
    <s v="Harish Teja"/>
    <n v="43"/>
    <x v="12"/>
    <s v="UPI"/>
    <n v="3"/>
    <s v="Vivo Y51"/>
  </r>
  <r>
    <n v="437"/>
    <n v="7"/>
    <n v="2"/>
    <n v="2022"/>
    <s v="Monday"/>
    <x v="0"/>
    <n v="5"/>
    <n v="43445.760000000002"/>
    <s v="Vijay Rawat"/>
    <n v="25"/>
    <x v="12"/>
    <s v="Cash"/>
    <n v="5"/>
    <s v="Mi 11"/>
  </r>
  <r>
    <n v="438"/>
    <n v="8"/>
    <n v="2"/>
    <n v="2022"/>
    <s v="Tuesday"/>
    <x v="0"/>
    <n v="6"/>
    <n v="62108.57"/>
    <s v="Arun Dutta"/>
    <n v="47"/>
    <x v="2"/>
    <s v="Cash"/>
    <n v="4"/>
    <s v="Redmi 9"/>
  </r>
  <r>
    <n v="439"/>
    <n v="8"/>
    <n v="2"/>
    <n v="2022"/>
    <s v="Tuesday"/>
    <x v="1"/>
    <n v="4"/>
    <n v="60065.75"/>
    <s v="Harish Solanki"/>
    <n v="51"/>
    <x v="2"/>
    <s v="Cash"/>
    <n v="2"/>
    <s v="Vivo Y51"/>
  </r>
  <r>
    <n v="440"/>
    <n v="8"/>
    <n v="2"/>
    <n v="2022"/>
    <s v="Tuesday"/>
    <x v="2"/>
    <n v="3"/>
    <n v="59980.37"/>
    <s v="Sunita Roy"/>
    <n v="19"/>
    <x v="1"/>
    <s v="Cash"/>
    <n v="5"/>
    <s v="OnePlus Nord"/>
  </r>
  <r>
    <n v="441"/>
    <n v="8"/>
    <n v="2"/>
    <n v="2022"/>
    <s v="Tuesday"/>
    <x v="2"/>
    <n v="7"/>
    <n v="51890.43"/>
    <s v="Vinod Nambiar"/>
    <n v="22"/>
    <x v="15"/>
    <s v="UPI"/>
    <n v="3"/>
    <s v="OnePlus Nord"/>
  </r>
  <r>
    <n v="442"/>
    <n v="9"/>
    <n v="2"/>
    <n v="2022"/>
    <s v="Wednesday"/>
    <x v="4"/>
    <n v="2"/>
    <n v="27484.91"/>
    <s v="Meena Kulkarni"/>
    <n v="48"/>
    <x v="2"/>
    <s v="Debit Card"/>
    <n v="3"/>
    <s v="iPhone 12"/>
  </r>
  <r>
    <n v="443"/>
    <n v="9"/>
    <n v="2"/>
    <n v="2022"/>
    <s v="Wednesday"/>
    <x v="4"/>
    <n v="6"/>
    <n v="30169.62"/>
    <s v="Arun Sheth"/>
    <n v="50"/>
    <x v="12"/>
    <s v="Cash"/>
    <n v="3"/>
    <s v="iPhone SE"/>
  </r>
  <r>
    <n v="444"/>
    <n v="9"/>
    <n v="2"/>
    <n v="2022"/>
    <s v="Wednesday"/>
    <x v="3"/>
    <n v="4"/>
    <n v="28508.15"/>
    <s v="Bhavana Mehta"/>
    <n v="21"/>
    <x v="2"/>
    <s v="Cash"/>
    <n v="5"/>
    <s v="Galaxy A51"/>
  </r>
  <r>
    <n v="445"/>
    <n v="10"/>
    <n v="2"/>
    <n v="2022"/>
    <s v="Thursday"/>
    <x v="0"/>
    <n v="6"/>
    <n v="11202.76"/>
    <s v="Bhavana Varma"/>
    <n v="23"/>
    <x v="6"/>
    <s v="Credit Card"/>
    <n v="3"/>
    <s v="Mi 11"/>
  </r>
  <r>
    <n v="446"/>
    <n v="10"/>
    <n v="2"/>
    <n v="2022"/>
    <s v="Thursday"/>
    <x v="4"/>
    <n v="4"/>
    <n v="44954.13"/>
    <s v="Lata Shah"/>
    <n v="40"/>
    <x v="1"/>
    <s v="UPI"/>
    <n v="4"/>
    <s v="iPhone 11"/>
  </r>
  <r>
    <n v="447"/>
    <n v="10"/>
    <n v="2"/>
    <n v="2022"/>
    <s v="Thursday"/>
    <x v="2"/>
    <n v="4"/>
    <n v="51930.02"/>
    <s v="Vivek Teja"/>
    <n v="36"/>
    <x v="0"/>
    <s v="Cash"/>
    <n v="4"/>
    <s v="OnePlus 9"/>
  </r>
  <r>
    <n v="448"/>
    <n v="11"/>
    <n v="2"/>
    <n v="2022"/>
    <s v="Friday"/>
    <x v="1"/>
    <n v="4"/>
    <n v="61231.96"/>
    <s v="Prashant Rathod"/>
    <n v="25"/>
    <x v="2"/>
    <s v="Credit Card"/>
    <n v="5"/>
    <s v="Vivo S1"/>
  </r>
  <r>
    <n v="449"/>
    <n v="11"/>
    <n v="2"/>
    <n v="2022"/>
    <s v="Friday"/>
    <x v="2"/>
    <n v="9"/>
    <n v="18409.93"/>
    <s v="Priyanka Menon"/>
    <n v="56"/>
    <x v="16"/>
    <s v="Cash"/>
    <n v="5"/>
    <s v="OnePlus Nord"/>
  </r>
  <r>
    <n v="450"/>
    <n v="11"/>
    <n v="2"/>
    <n v="2022"/>
    <s v="Friday"/>
    <x v="0"/>
    <n v="7"/>
    <n v="42650.99"/>
    <s v="Anjali Sharma"/>
    <n v="30"/>
    <x v="2"/>
    <s v="UPI"/>
    <n v="4"/>
    <s v="Redmi Note 10"/>
  </r>
  <r>
    <n v="451"/>
    <n v="11"/>
    <n v="2"/>
    <n v="2022"/>
    <s v="Friday"/>
    <x v="2"/>
    <n v="3"/>
    <n v="10480.49"/>
    <s v="Arun Kapoor"/>
    <n v="18"/>
    <x v="14"/>
    <s v="Credit Card"/>
    <n v="5"/>
    <s v="OnePlus 8T"/>
  </r>
  <r>
    <n v="452"/>
    <n v="12"/>
    <n v="2"/>
    <n v="2022"/>
    <s v="Saturday"/>
    <x v="3"/>
    <n v="3"/>
    <n v="15705.62"/>
    <s v="Arun Goyal"/>
    <n v="23"/>
    <x v="3"/>
    <s v="Credit Card"/>
    <n v="5"/>
    <s v="Galaxy A51"/>
  </r>
  <r>
    <n v="453"/>
    <n v="12"/>
    <n v="2"/>
    <n v="2022"/>
    <s v="Saturday"/>
    <x v="0"/>
    <n v="6"/>
    <n v="13252.7"/>
    <s v="Arun Pillai"/>
    <n v="24"/>
    <x v="1"/>
    <s v="UPI"/>
    <n v="3"/>
    <s v="Redmi Note 10"/>
  </r>
  <r>
    <n v="454"/>
    <n v="12"/>
    <n v="2"/>
    <n v="2022"/>
    <s v="Saturday"/>
    <x v="1"/>
    <n v="6"/>
    <n v="53528.68"/>
    <s v="Vinod Goyal"/>
    <n v="44"/>
    <x v="5"/>
    <s v="Credit Card"/>
    <n v="4"/>
    <s v="Vivo Y51"/>
  </r>
  <r>
    <n v="455"/>
    <n v="12"/>
    <n v="2"/>
    <n v="2022"/>
    <s v="Saturday"/>
    <x v="3"/>
    <n v="4"/>
    <n v="14863.57"/>
    <s v="Monika Deshmukh"/>
    <n v="32"/>
    <x v="1"/>
    <s v="Credit Card"/>
    <n v="2"/>
    <s v="Galaxy S21"/>
  </r>
  <r>
    <n v="456"/>
    <n v="13"/>
    <n v="2"/>
    <n v="2022"/>
    <s v="Sunday"/>
    <x v="0"/>
    <n v="9"/>
    <n v="52987.18"/>
    <s v="Vijay Varma"/>
    <n v="51"/>
    <x v="1"/>
    <s v="Cash"/>
    <n v="5"/>
    <s v="Redmi Note 10"/>
  </r>
  <r>
    <n v="457"/>
    <n v="13"/>
    <n v="2"/>
    <n v="2022"/>
    <s v="Sunday"/>
    <x v="1"/>
    <n v="4"/>
    <n v="24977.48"/>
    <s v="Bhavana Mathur"/>
    <n v="40"/>
    <x v="2"/>
    <s v="Credit Card"/>
    <n v="5"/>
    <s v="Vivo S1"/>
  </r>
  <r>
    <n v="458"/>
    <n v="13"/>
    <n v="2"/>
    <n v="2022"/>
    <s v="Sunday"/>
    <x v="3"/>
    <n v="9"/>
    <n v="62662.78"/>
    <s v="Priya Singh"/>
    <n v="41"/>
    <x v="2"/>
    <s v="Debit Card"/>
    <n v="4"/>
    <s v="Galaxy Note 20"/>
  </r>
  <r>
    <n v="459"/>
    <n v="14"/>
    <n v="2"/>
    <n v="2022"/>
    <s v="Monday"/>
    <x v="3"/>
    <n v="4"/>
    <n v="58789"/>
    <s v="Tapan Deshmukh"/>
    <n v="32"/>
    <x v="11"/>
    <s v="UPI"/>
    <n v="2"/>
    <s v="Galaxy A51"/>
  </r>
  <r>
    <n v="460"/>
    <n v="14"/>
    <n v="2"/>
    <n v="2022"/>
    <s v="Monday"/>
    <x v="0"/>
    <n v="2"/>
    <n v="67469.81"/>
    <s v="Meena Patel"/>
    <n v="52"/>
    <x v="18"/>
    <s v="Cash"/>
    <n v="5"/>
    <s v="Redmi 9"/>
  </r>
  <r>
    <n v="461"/>
    <n v="14"/>
    <n v="2"/>
    <n v="2022"/>
    <s v="Monday"/>
    <x v="4"/>
    <n v="2"/>
    <n v="63025.72"/>
    <s v="Namita Sheth"/>
    <n v="21"/>
    <x v="1"/>
    <s v="Credit Card"/>
    <n v="5"/>
    <s v="iPhone 11"/>
  </r>
  <r>
    <n v="462"/>
    <n v="14"/>
    <n v="2"/>
    <n v="2022"/>
    <s v="Monday"/>
    <x v="3"/>
    <n v="5"/>
    <n v="65999.77"/>
    <s v="Anita Varma"/>
    <n v="54"/>
    <x v="2"/>
    <s v="Debit Card"/>
    <n v="2"/>
    <s v="Galaxy Note 20"/>
  </r>
  <r>
    <n v="463"/>
    <n v="15"/>
    <n v="2"/>
    <n v="2022"/>
    <s v="Tuesday"/>
    <x v="3"/>
    <n v="4"/>
    <n v="61524.54"/>
    <s v="Vinod Goyal"/>
    <n v="34"/>
    <x v="2"/>
    <s v="Cash"/>
    <n v="3"/>
    <s v="Galaxy Note 20"/>
  </r>
  <r>
    <n v="464"/>
    <n v="15"/>
    <n v="2"/>
    <n v="2022"/>
    <s v="Tuesday"/>
    <x v="1"/>
    <n v="7"/>
    <n v="51602.91"/>
    <s v="Kunal Shah"/>
    <n v="48"/>
    <x v="8"/>
    <s v="UPI"/>
    <n v="5"/>
    <s v="Vivo S1"/>
  </r>
  <r>
    <n v="465"/>
    <n v="15"/>
    <n v="2"/>
    <n v="2022"/>
    <s v="Tuesday"/>
    <x v="2"/>
    <n v="5"/>
    <n v="20215.55"/>
    <s v="Mala Teja"/>
    <n v="55"/>
    <x v="1"/>
    <s v="Credit Card"/>
    <n v="2"/>
    <s v="OnePlus 8T"/>
  </r>
  <r>
    <n v="466"/>
    <n v="15"/>
    <n v="2"/>
    <n v="2022"/>
    <s v="Tuesday"/>
    <x v="0"/>
    <n v="6"/>
    <n v="26302.45"/>
    <s v="Sumit Mishra"/>
    <n v="27"/>
    <x v="4"/>
    <s v="UPI"/>
    <n v="4"/>
    <s v="Mi 11"/>
  </r>
  <r>
    <n v="467"/>
    <n v="16"/>
    <n v="2"/>
    <n v="2022"/>
    <s v="Wednesday"/>
    <x v="0"/>
    <n v="4"/>
    <n v="22763.62"/>
    <s v="Kavita Gupta"/>
    <n v="44"/>
    <x v="1"/>
    <s v="UPI"/>
    <n v="5"/>
    <s v="Mi 11"/>
  </r>
  <r>
    <n v="468"/>
    <n v="16"/>
    <n v="2"/>
    <n v="2022"/>
    <s v="Wednesday"/>
    <x v="4"/>
    <n v="2"/>
    <n v="46215.15"/>
    <s v="Tapan Joshi"/>
    <n v="59"/>
    <x v="10"/>
    <s v="Credit Card"/>
    <n v="5"/>
    <s v="iPhone 12"/>
  </r>
  <r>
    <n v="469"/>
    <n v="16"/>
    <n v="2"/>
    <n v="2022"/>
    <s v="Wednesday"/>
    <x v="4"/>
    <n v="9"/>
    <n v="40217.199999999997"/>
    <s v="Nikhil Menon"/>
    <n v="23"/>
    <x v="1"/>
    <s v="Credit Card"/>
    <n v="4"/>
    <s v="iPhone 11"/>
  </r>
  <r>
    <n v="470"/>
    <n v="16"/>
    <n v="2"/>
    <n v="2022"/>
    <s v="Wednesday"/>
    <x v="0"/>
    <n v="7"/>
    <n v="62024.800000000003"/>
    <s v="Vinod Prasad"/>
    <n v="23"/>
    <x v="11"/>
    <s v="Cash"/>
    <n v="2"/>
    <s v="Redmi 9"/>
  </r>
  <r>
    <n v="471"/>
    <n v="17"/>
    <n v="2"/>
    <n v="2022"/>
    <s v="Thursday"/>
    <x v="4"/>
    <n v="4"/>
    <n v="67160.37"/>
    <s v="Tapan Bhattacharya"/>
    <n v="32"/>
    <x v="15"/>
    <s v="UPI"/>
    <n v="3"/>
    <s v="iPhone 12"/>
  </r>
  <r>
    <n v="472"/>
    <n v="17"/>
    <n v="2"/>
    <n v="2022"/>
    <s v="Thursday"/>
    <x v="1"/>
    <n v="3"/>
    <n v="34291.589999999997"/>
    <s v="Jyoti Iyer"/>
    <n v="21"/>
    <x v="16"/>
    <s v="Credit Card"/>
    <n v="5"/>
    <s v="Vivo S1"/>
  </r>
  <r>
    <n v="473"/>
    <n v="17"/>
    <n v="2"/>
    <n v="2022"/>
    <s v="Thursday"/>
    <x v="0"/>
    <n v="3"/>
    <n v="40381.03"/>
    <s v="Shruti Chaudhary"/>
    <n v="57"/>
    <x v="1"/>
    <s v="UPI"/>
    <n v="5"/>
    <s v="Redmi Note 10"/>
  </r>
  <r>
    <n v="474"/>
    <n v="18"/>
    <n v="2"/>
    <n v="2022"/>
    <s v="Friday"/>
    <x v="4"/>
    <n v="9"/>
    <n v="68290.98"/>
    <s v="Jyoti Pillai"/>
    <n v="24"/>
    <x v="14"/>
    <s v="Credit Card"/>
    <n v="5"/>
    <s v="iPhone 11"/>
  </r>
  <r>
    <n v="475"/>
    <n v="18"/>
    <n v="2"/>
    <n v="2022"/>
    <s v="Friday"/>
    <x v="0"/>
    <n v="5"/>
    <n v="26574.34"/>
    <s v="Manoj Shah"/>
    <n v="43"/>
    <x v="7"/>
    <s v="UPI"/>
    <n v="4"/>
    <s v="Redmi Note 10"/>
  </r>
  <r>
    <n v="476"/>
    <n v="18"/>
    <n v="2"/>
    <n v="2022"/>
    <s v="Friday"/>
    <x v="2"/>
    <n v="3"/>
    <n v="57543.45"/>
    <s v="Vijay Prasad"/>
    <n v="48"/>
    <x v="2"/>
    <s v="Cash"/>
    <n v="2"/>
    <s v="OnePlus Nord"/>
  </r>
  <r>
    <n v="477"/>
    <n v="19"/>
    <n v="2"/>
    <n v="2022"/>
    <s v="Saturday"/>
    <x v="3"/>
    <n v="5"/>
    <n v="23514.39"/>
    <s v="Reena Sharma"/>
    <n v="19"/>
    <x v="1"/>
    <s v="UPI"/>
    <n v="2"/>
    <s v="Galaxy S21"/>
  </r>
  <r>
    <n v="478"/>
    <n v="19"/>
    <n v="2"/>
    <n v="2022"/>
    <s v="Saturday"/>
    <x v="0"/>
    <n v="2"/>
    <n v="50887.61"/>
    <s v="Sumit Rathod"/>
    <n v="45"/>
    <x v="15"/>
    <s v="Credit Card"/>
    <n v="4"/>
    <s v="Mi 11"/>
  </r>
  <r>
    <n v="479"/>
    <n v="19"/>
    <n v="2"/>
    <n v="2022"/>
    <s v="Saturday"/>
    <x v="3"/>
    <n v="4"/>
    <n v="25216.94"/>
    <s v="Krishna Malhotra"/>
    <n v="59"/>
    <x v="1"/>
    <s v="Debit Card"/>
    <n v="5"/>
    <s v="Galaxy Note 20"/>
  </r>
  <r>
    <n v="480"/>
    <n v="20"/>
    <n v="2"/>
    <n v="2022"/>
    <s v="Sunday"/>
    <x v="4"/>
    <n v="2"/>
    <n v="63024"/>
    <s v="Namita Patel"/>
    <n v="30"/>
    <x v="13"/>
    <s v="Cash"/>
    <n v="4"/>
    <s v="iPhone SE"/>
  </r>
  <r>
    <n v="481"/>
    <n v="20"/>
    <n v="2"/>
    <n v="2022"/>
    <s v="Sunday"/>
    <x v="3"/>
    <n v="2"/>
    <n v="43688.68"/>
    <s v="Devendra Rao"/>
    <n v="35"/>
    <x v="5"/>
    <s v="Cash"/>
    <n v="2"/>
    <s v="Galaxy S21"/>
  </r>
  <r>
    <n v="482"/>
    <n v="20"/>
    <n v="2"/>
    <n v="2022"/>
    <s v="Sunday"/>
    <x v="0"/>
    <n v="8"/>
    <n v="21156.02"/>
    <s v="Ravi Malhotra"/>
    <n v="47"/>
    <x v="2"/>
    <s v="Debit Card"/>
    <n v="4"/>
    <s v="Redmi 9"/>
  </r>
  <r>
    <n v="483"/>
    <n v="21"/>
    <n v="2"/>
    <n v="2022"/>
    <s v="Monday"/>
    <x v="2"/>
    <n v="1"/>
    <n v="23462.15"/>
    <s v="Ramesh Gupta"/>
    <n v="28"/>
    <x v="2"/>
    <s v="Credit Card"/>
    <n v="5"/>
    <s v="OnePlus Nord"/>
  </r>
  <r>
    <n v="484"/>
    <n v="21"/>
    <n v="2"/>
    <n v="2022"/>
    <s v="Monday"/>
    <x v="4"/>
    <n v="7"/>
    <n v="39630.949999999997"/>
    <s v="Shruti Pathak"/>
    <n v="30"/>
    <x v="1"/>
    <s v="Cash"/>
    <n v="5"/>
    <s v="iPhone SE"/>
  </r>
  <r>
    <n v="485"/>
    <n v="21"/>
    <n v="2"/>
    <n v="2022"/>
    <s v="Monday"/>
    <x v="0"/>
    <n v="5"/>
    <n v="67696.12"/>
    <s v="Ramesh Solanki"/>
    <n v="41"/>
    <x v="1"/>
    <s v="Debit Card"/>
    <n v="5"/>
    <s v="Mi 11"/>
  </r>
  <r>
    <n v="486"/>
    <n v="22"/>
    <n v="2"/>
    <n v="2022"/>
    <s v="Tuesday"/>
    <x v="4"/>
    <n v="8"/>
    <n v="56178.53"/>
    <s v="Shruti Pathak"/>
    <n v="46"/>
    <x v="2"/>
    <s v="Debit Card"/>
    <n v="3"/>
    <s v="iPhone 12"/>
  </r>
  <r>
    <n v="487"/>
    <n v="22"/>
    <n v="2"/>
    <n v="2022"/>
    <s v="Tuesday"/>
    <x v="1"/>
    <n v="1"/>
    <n v="39298.58"/>
    <s v="Ramesh Dutta"/>
    <n v="22"/>
    <x v="16"/>
    <s v="UPI"/>
    <n v="3"/>
    <s v="Vivo Y51"/>
  </r>
  <r>
    <n v="488"/>
    <n v="22"/>
    <n v="2"/>
    <n v="2022"/>
    <s v="Tuesday"/>
    <x v="3"/>
    <n v="7"/>
    <n v="30263.15"/>
    <s v="Umesh Ghosh"/>
    <n v="52"/>
    <x v="1"/>
    <s v="UPI"/>
    <n v="4"/>
    <s v="Galaxy Note 20"/>
  </r>
  <r>
    <n v="489"/>
    <n v="23"/>
    <n v="2"/>
    <n v="2022"/>
    <s v="Wednesday"/>
    <x v="1"/>
    <n v="5"/>
    <n v="42956.11"/>
    <s v="Gita Iyer"/>
    <n v="36"/>
    <x v="14"/>
    <s v="Credit Card"/>
    <n v="5"/>
    <s v="Vivo Y51"/>
  </r>
  <r>
    <n v="490"/>
    <n v="23"/>
    <n v="2"/>
    <n v="2022"/>
    <s v="Wednesday"/>
    <x v="0"/>
    <n v="4"/>
    <n v="54901.65"/>
    <s v="Reena Desai"/>
    <n v="30"/>
    <x v="16"/>
    <s v="Debit Card"/>
    <n v="5"/>
    <s v="Redmi Note 10"/>
  </r>
  <r>
    <n v="491"/>
    <n v="23"/>
    <n v="2"/>
    <n v="2022"/>
    <s v="Wednesday"/>
    <x v="2"/>
    <n v="7"/>
    <n v="57035.72"/>
    <s v="Sanjay Das"/>
    <n v="22"/>
    <x v="6"/>
    <s v="UPI"/>
    <n v="2"/>
    <s v="OnePlus 8T"/>
  </r>
  <r>
    <n v="492"/>
    <n v="24"/>
    <n v="2"/>
    <n v="2022"/>
    <s v="Thursday"/>
    <x v="4"/>
    <n v="2"/>
    <n v="29476.53"/>
    <s v="Sanjay Patel"/>
    <n v="31"/>
    <x v="3"/>
    <s v="Credit Card"/>
    <n v="5"/>
    <s v="iPhone 11"/>
  </r>
  <r>
    <n v="493"/>
    <n v="24"/>
    <n v="2"/>
    <n v="2022"/>
    <s v="Thursday"/>
    <x v="3"/>
    <n v="1"/>
    <n v="53269.56"/>
    <s v="Anita Desai"/>
    <n v="55"/>
    <x v="1"/>
    <s v="Cash"/>
    <n v="5"/>
    <s v="Galaxy Note 20"/>
  </r>
  <r>
    <n v="494"/>
    <n v="24"/>
    <n v="2"/>
    <n v="2022"/>
    <s v="Thursday"/>
    <x v="4"/>
    <n v="1"/>
    <n v="49467.33"/>
    <s v="Anand Chatterjee"/>
    <n v="39"/>
    <x v="6"/>
    <s v="UPI"/>
    <n v="4"/>
    <s v="iPhone 12"/>
  </r>
  <r>
    <n v="495"/>
    <n v="25"/>
    <n v="2"/>
    <n v="2022"/>
    <s v="Friday"/>
    <x v="0"/>
    <n v="1"/>
    <n v="67546.740000000005"/>
    <s v="Bina Solanki"/>
    <n v="26"/>
    <x v="6"/>
    <s v="Credit Card"/>
    <n v="2"/>
    <s v="Redmi Note 10"/>
  </r>
  <r>
    <n v="496"/>
    <n v="25"/>
    <n v="2"/>
    <n v="2022"/>
    <s v="Friday"/>
    <x v="4"/>
    <n v="5"/>
    <n v="65865.42"/>
    <s v="Sunita Mehta"/>
    <n v="57"/>
    <x v="0"/>
    <s v="UPI"/>
    <n v="2"/>
    <s v="iPhone SE"/>
  </r>
  <r>
    <n v="497"/>
    <n v="25"/>
    <n v="2"/>
    <n v="2022"/>
    <s v="Friday"/>
    <x v="3"/>
    <n v="7"/>
    <n v="57362.76"/>
    <s v="Pankaj Arora"/>
    <n v="43"/>
    <x v="4"/>
    <s v="Cash"/>
    <n v="4"/>
    <s v="Galaxy Note 20"/>
  </r>
  <r>
    <n v="498"/>
    <n v="26"/>
    <n v="2"/>
    <n v="2022"/>
    <s v="Saturday"/>
    <x v="0"/>
    <n v="2"/>
    <n v="53403.68"/>
    <s v="Monika Srivastava"/>
    <n v="22"/>
    <x v="7"/>
    <s v="Cash"/>
    <n v="4"/>
    <s v="Mi 11"/>
  </r>
  <r>
    <n v="499"/>
    <n v="26"/>
    <n v="2"/>
    <n v="2022"/>
    <s v="Saturday"/>
    <x v="4"/>
    <n v="8"/>
    <n v="26442.5"/>
    <s v="Rajesh Ghosh"/>
    <n v="46"/>
    <x v="2"/>
    <s v="UPI"/>
    <n v="5"/>
    <s v="iPhone 12"/>
  </r>
  <r>
    <n v="500"/>
    <n v="26"/>
    <n v="2"/>
    <n v="2022"/>
    <s v="Saturday"/>
    <x v="2"/>
    <n v="4"/>
    <n v="60757.919999999998"/>
    <s v="Priya Sharma"/>
    <n v="39"/>
    <x v="18"/>
    <s v="Cash"/>
    <n v="5"/>
    <s v="OnePlus 9"/>
  </r>
  <r>
    <n v="501"/>
    <n v="26"/>
    <n v="2"/>
    <n v="2022"/>
    <s v="Saturday"/>
    <x v="0"/>
    <n v="3"/>
    <n v="35650.339999999997"/>
    <s v="Kavita Kaur"/>
    <n v="20"/>
    <x v="14"/>
    <s v="Credit Card"/>
    <n v="2"/>
    <s v="Mi 11"/>
  </r>
  <r>
    <n v="502"/>
    <n v="27"/>
    <n v="2"/>
    <n v="2022"/>
    <s v="Sunday"/>
    <x v="0"/>
    <n v="8"/>
    <n v="26334.43"/>
    <s v="Vivek Deshmukh"/>
    <n v="45"/>
    <x v="1"/>
    <s v="UPI"/>
    <n v="2"/>
    <s v="Redmi 9"/>
  </r>
  <r>
    <n v="503"/>
    <n v="27"/>
    <n v="2"/>
    <n v="2022"/>
    <s v="Sunday"/>
    <x v="2"/>
    <n v="2"/>
    <n v="33049.65"/>
    <s v="Pooja Patel"/>
    <n v="55"/>
    <x v="1"/>
    <s v="UPI"/>
    <n v="5"/>
    <s v="OnePlus Nord"/>
  </r>
  <r>
    <n v="504"/>
    <n v="27"/>
    <n v="2"/>
    <n v="2022"/>
    <s v="Sunday"/>
    <x v="1"/>
    <n v="3"/>
    <n v="60156.13"/>
    <s v="Meena Joshi"/>
    <n v="31"/>
    <x v="1"/>
    <s v="Cash"/>
    <n v="2"/>
    <s v="Vivo Y51"/>
  </r>
  <r>
    <n v="505"/>
    <n v="28"/>
    <n v="2"/>
    <n v="2022"/>
    <s v="Monday"/>
    <x v="3"/>
    <n v="3"/>
    <n v="18917.990000000002"/>
    <s v="Namita Gupta"/>
    <n v="31"/>
    <x v="14"/>
    <s v="Credit Card"/>
    <n v="4"/>
    <s v="Galaxy A51"/>
  </r>
  <r>
    <n v="506"/>
    <n v="28"/>
    <n v="2"/>
    <n v="2022"/>
    <s v="Monday"/>
    <x v="1"/>
    <n v="1"/>
    <n v="37369.519999999997"/>
    <s v="Harish Malhotra"/>
    <n v="28"/>
    <x v="4"/>
    <s v="UPI"/>
    <n v="4"/>
    <s v="Vivo S1"/>
  </r>
  <r>
    <n v="507"/>
    <n v="28"/>
    <n v="2"/>
    <n v="2022"/>
    <s v="Monday"/>
    <x v="4"/>
    <n v="6"/>
    <n v="39541.46"/>
    <s v="Pankaj Patel"/>
    <n v="26"/>
    <x v="16"/>
    <s v="UPI"/>
    <n v="5"/>
    <s v="iPhone 11"/>
  </r>
  <r>
    <n v="508"/>
    <n v="28"/>
    <n v="2"/>
    <n v="2022"/>
    <s v="Monday"/>
    <x v="2"/>
    <n v="2"/>
    <n v="12197.78"/>
    <s v="Aditya Iyer"/>
    <n v="55"/>
    <x v="0"/>
    <s v="Cash"/>
    <n v="3"/>
    <s v="OnePlus Nord"/>
  </r>
  <r>
    <n v="509"/>
    <n v="1"/>
    <n v="3"/>
    <n v="2022"/>
    <s v="Tuesday"/>
    <x v="1"/>
    <n v="1"/>
    <n v="21744.76"/>
    <s v="Ramesh Joshi"/>
    <n v="23"/>
    <x v="1"/>
    <s v="Cash"/>
    <n v="3"/>
    <s v="Vivo V20"/>
  </r>
  <r>
    <n v="510"/>
    <n v="1"/>
    <n v="3"/>
    <n v="2022"/>
    <s v="Tuesday"/>
    <x v="0"/>
    <n v="2"/>
    <n v="59604.55"/>
    <s v="Sachin Rao"/>
    <n v="18"/>
    <x v="1"/>
    <s v="Credit Card"/>
    <n v="4"/>
    <s v="Mi 11"/>
  </r>
  <r>
    <n v="511"/>
    <n v="1"/>
    <n v="3"/>
    <n v="2022"/>
    <s v="Tuesday"/>
    <x v="4"/>
    <n v="6"/>
    <n v="59846.04"/>
    <s v="Pankaj Jain"/>
    <n v="42"/>
    <x v="1"/>
    <s v="Credit Card"/>
    <n v="3"/>
    <s v="iPhone 12"/>
  </r>
  <r>
    <n v="512"/>
    <n v="1"/>
    <n v="3"/>
    <n v="2022"/>
    <s v="Tuesday"/>
    <x v="4"/>
    <n v="4"/>
    <n v="27544.91"/>
    <s v="Monika Singh"/>
    <n v="33"/>
    <x v="1"/>
    <s v="Cash"/>
    <n v="3"/>
    <s v="iPhone 11"/>
  </r>
  <r>
    <n v="513"/>
    <n v="2"/>
    <n v="3"/>
    <n v="2022"/>
    <s v="Wednesday"/>
    <x v="1"/>
    <n v="6"/>
    <n v="62493.83"/>
    <s v="Deepika Kulkarni"/>
    <n v="32"/>
    <x v="2"/>
    <s v="Credit Card"/>
    <n v="5"/>
    <s v="Vivo V20"/>
  </r>
  <r>
    <n v="514"/>
    <n v="2"/>
    <n v="3"/>
    <n v="2022"/>
    <s v="Wednesday"/>
    <x v="1"/>
    <n v="9"/>
    <n v="56306.98"/>
    <s v="Vinod Kumar"/>
    <n v="51"/>
    <x v="3"/>
    <s v="Debit Card"/>
    <n v="2"/>
    <s v="Vivo S1"/>
  </r>
  <r>
    <n v="515"/>
    <n v="2"/>
    <n v="3"/>
    <n v="2022"/>
    <s v="Wednesday"/>
    <x v="2"/>
    <n v="8"/>
    <n v="35074.449999999997"/>
    <s v="Neeta Kumar"/>
    <n v="34"/>
    <x v="1"/>
    <s v="Debit Card"/>
    <n v="2"/>
    <s v="OnePlus 9"/>
  </r>
  <r>
    <n v="516"/>
    <n v="2"/>
    <n v="3"/>
    <n v="2022"/>
    <s v="Wednesday"/>
    <x v="3"/>
    <n v="1"/>
    <n v="54904.38"/>
    <s v="Vinod Kulkarni"/>
    <n v="20"/>
    <x v="15"/>
    <s v="Cash"/>
    <n v="3"/>
    <s v="Galaxy S21"/>
  </r>
  <r>
    <n v="517"/>
    <n v="3"/>
    <n v="3"/>
    <n v="2022"/>
    <s v="Thursday"/>
    <x v="1"/>
    <n v="8"/>
    <n v="67680.08"/>
    <s v="Vinod Nair"/>
    <n v="20"/>
    <x v="1"/>
    <s v="UPI"/>
    <n v="5"/>
    <s v="Vivo V20"/>
  </r>
  <r>
    <n v="518"/>
    <n v="3"/>
    <n v="3"/>
    <n v="2022"/>
    <s v="Thursday"/>
    <x v="1"/>
    <n v="9"/>
    <n v="37538.18"/>
    <s v="Vinod Solanki"/>
    <n v="54"/>
    <x v="1"/>
    <s v="Cash"/>
    <n v="5"/>
    <s v="Vivo V20"/>
  </r>
  <r>
    <n v="519"/>
    <n v="3"/>
    <n v="3"/>
    <n v="2022"/>
    <s v="Thursday"/>
    <x v="0"/>
    <n v="6"/>
    <n v="24305.63"/>
    <s v="Sachin Sheth"/>
    <n v="34"/>
    <x v="1"/>
    <s v="Cash"/>
    <n v="3"/>
    <s v="Redmi Note 10"/>
  </r>
  <r>
    <n v="520"/>
    <n v="4"/>
    <n v="3"/>
    <n v="2022"/>
    <s v="Friday"/>
    <x v="4"/>
    <n v="5"/>
    <n v="66508.990000000005"/>
    <s v="Prashant Srivastava"/>
    <n v="55"/>
    <x v="0"/>
    <s v="Cash"/>
    <n v="5"/>
    <s v="iPhone 11"/>
  </r>
  <r>
    <n v="521"/>
    <n v="4"/>
    <n v="3"/>
    <n v="2022"/>
    <s v="Friday"/>
    <x v="3"/>
    <n v="6"/>
    <n v="46224.66"/>
    <s v="Neeta Nair"/>
    <n v="18"/>
    <x v="5"/>
    <s v="UPI"/>
    <n v="5"/>
    <s v="Galaxy S21"/>
  </r>
  <r>
    <n v="522"/>
    <n v="4"/>
    <n v="3"/>
    <n v="2022"/>
    <s v="Friday"/>
    <x v="0"/>
    <n v="6"/>
    <n v="16315.91"/>
    <s v="Lalita Kaur"/>
    <n v="24"/>
    <x v="5"/>
    <s v="Debit Card"/>
    <n v="5"/>
    <s v="Redmi Note 10"/>
  </r>
  <r>
    <n v="523"/>
    <n v="5"/>
    <n v="3"/>
    <n v="2022"/>
    <s v="Saturday"/>
    <x v="2"/>
    <n v="9"/>
    <n v="44360.97"/>
    <s v="Isha Menon"/>
    <n v="43"/>
    <x v="1"/>
    <s v="Credit Card"/>
    <n v="2"/>
    <s v="OnePlus 8T"/>
  </r>
  <r>
    <n v="524"/>
    <n v="5"/>
    <n v="3"/>
    <n v="2022"/>
    <s v="Saturday"/>
    <x v="2"/>
    <n v="4"/>
    <n v="40034.85"/>
    <s v="Neeta Pillai"/>
    <n v="56"/>
    <x v="11"/>
    <s v="Debit Card"/>
    <n v="4"/>
    <s v="OnePlus 8T"/>
  </r>
  <r>
    <n v="525"/>
    <n v="5"/>
    <n v="3"/>
    <n v="2022"/>
    <s v="Saturday"/>
    <x v="1"/>
    <n v="2"/>
    <n v="61335.33"/>
    <s v="Vivek Siddiqui"/>
    <n v="36"/>
    <x v="16"/>
    <s v="Credit Card"/>
    <n v="5"/>
    <s v="Vivo S1"/>
  </r>
  <r>
    <n v="526"/>
    <n v="6"/>
    <n v="3"/>
    <n v="2022"/>
    <s v="Sunday"/>
    <x v="1"/>
    <n v="9"/>
    <n v="41841.71"/>
    <s v="Anand Mishra"/>
    <n v="47"/>
    <x v="1"/>
    <s v="Credit Card"/>
    <n v="4"/>
    <s v="Vivo V20"/>
  </r>
  <r>
    <n v="527"/>
    <n v="6"/>
    <n v="3"/>
    <n v="2022"/>
    <s v="Sunday"/>
    <x v="2"/>
    <n v="2"/>
    <n v="25313.95"/>
    <s v="Namita Sheth"/>
    <n v="31"/>
    <x v="14"/>
    <s v="Cash"/>
    <n v="4"/>
    <s v="OnePlus 9"/>
  </r>
  <r>
    <n v="528"/>
    <n v="6"/>
    <n v="3"/>
    <n v="2022"/>
    <s v="Sunday"/>
    <x v="1"/>
    <n v="9"/>
    <n v="50538.64"/>
    <s v="Rohan Menon"/>
    <n v="30"/>
    <x v="2"/>
    <s v="Cash"/>
    <n v="5"/>
    <s v="Vivo S1"/>
  </r>
  <r>
    <n v="529"/>
    <n v="7"/>
    <n v="3"/>
    <n v="2022"/>
    <s v="Monday"/>
    <x v="3"/>
    <n v="2"/>
    <n v="42554.53"/>
    <s v="Vivek Patel"/>
    <n v="37"/>
    <x v="2"/>
    <s v="Credit Card"/>
    <n v="2"/>
    <s v="Galaxy S21"/>
  </r>
  <r>
    <n v="530"/>
    <n v="7"/>
    <n v="3"/>
    <n v="2022"/>
    <s v="Monday"/>
    <x v="1"/>
    <n v="8"/>
    <n v="23982.68"/>
    <s v="Bhavana Varma"/>
    <n v="43"/>
    <x v="10"/>
    <s v="UPI"/>
    <n v="5"/>
    <s v="Vivo S1"/>
  </r>
  <r>
    <n v="531"/>
    <n v="7"/>
    <n v="3"/>
    <n v="2022"/>
    <s v="Monday"/>
    <x v="4"/>
    <n v="9"/>
    <n v="44417.67"/>
    <s v="Vinod Dutta"/>
    <n v="44"/>
    <x v="1"/>
    <s v="UPI"/>
    <n v="5"/>
    <s v="iPhone 11"/>
  </r>
  <r>
    <n v="532"/>
    <n v="7"/>
    <n v="3"/>
    <n v="2022"/>
    <s v="Monday"/>
    <x v="1"/>
    <n v="9"/>
    <n v="59292.13"/>
    <s v="Rohan Menon"/>
    <n v="42"/>
    <x v="16"/>
    <s v="UPI"/>
    <n v="2"/>
    <s v="Vivo V20"/>
  </r>
  <r>
    <n v="533"/>
    <n v="8"/>
    <n v="3"/>
    <n v="2022"/>
    <s v="Tuesday"/>
    <x v="0"/>
    <n v="9"/>
    <n v="11714.26"/>
    <s v="Deepika Sharma"/>
    <n v="26"/>
    <x v="2"/>
    <s v="UPI"/>
    <n v="3"/>
    <s v="Redmi Note 10"/>
  </r>
  <r>
    <n v="534"/>
    <n v="8"/>
    <n v="3"/>
    <n v="2022"/>
    <s v="Tuesday"/>
    <x v="3"/>
    <n v="2"/>
    <n v="47851.06"/>
    <s v="Rajesh Yadav"/>
    <n v="58"/>
    <x v="12"/>
    <s v="Cash"/>
    <n v="2"/>
    <s v="Galaxy Note 20"/>
  </r>
  <r>
    <n v="535"/>
    <n v="8"/>
    <n v="3"/>
    <n v="2022"/>
    <s v="Tuesday"/>
    <x v="0"/>
    <n v="4"/>
    <n v="30975.11"/>
    <s v="Arun Ghosh"/>
    <n v="29"/>
    <x v="15"/>
    <s v="Debit Card"/>
    <n v="5"/>
    <s v="Redmi Note 10"/>
  </r>
  <r>
    <n v="536"/>
    <n v="9"/>
    <n v="3"/>
    <n v="2022"/>
    <s v="Wednesday"/>
    <x v="0"/>
    <n v="7"/>
    <n v="27560.29"/>
    <s v="Anita Patel"/>
    <n v="27"/>
    <x v="1"/>
    <s v="Debit Card"/>
    <n v="5"/>
    <s v="Mi 11"/>
  </r>
  <r>
    <n v="537"/>
    <n v="9"/>
    <n v="3"/>
    <n v="2022"/>
    <s v="Wednesday"/>
    <x v="4"/>
    <n v="2"/>
    <n v="33555.269999999997"/>
    <s v="Kunal Patel"/>
    <n v="23"/>
    <x v="10"/>
    <s v="Credit Card"/>
    <n v="4"/>
    <s v="iPhone 11"/>
  </r>
  <r>
    <n v="538"/>
    <n v="9"/>
    <n v="3"/>
    <n v="2022"/>
    <s v="Wednesday"/>
    <x v="3"/>
    <n v="1"/>
    <n v="30521.360000000001"/>
    <s v="Ravi Kulkarni"/>
    <n v="51"/>
    <x v="13"/>
    <s v="UPI"/>
    <n v="3"/>
    <s v="Galaxy A51"/>
  </r>
  <r>
    <n v="539"/>
    <n v="10"/>
    <n v="3"/>
    <n v="2022"/>
    <s v="Thursday"/>
    <x v="3"/>
    <n v="3"/>
    <n v="59934.35"/>
    <s v="Neeta Mishra"/>
    <n v="58"/>
    <x v="14"/>
    <s v="Cash"/>
    <n v="2"/>
    <s v="Galaxy Note 20"/>
  </r>
  <r>
    <n v="540"/>
    <n v="10"/>
    <n v="3"/>
    <n v="2022"/>
    <s v="Thursday"/>
    <x v="3"/>
    <n v="4"/>
    <n v="26487.87"/>
    <s v="Kiran Solanki"/>
    <n v="36"/>
    <x v="9"/>
    <s v="Cash"/>
    <n v="3"/>
    <s v="Galaxy A51"/>
  </r>
  <r>
    <n v="541"/>
    <n v="10"/>
    <n v="3"/>
    <n v="2022"/>
    <s v="Thursday"/>
    <x v="3"/>
    <n v="8"/>
    <n v="53989.18"/>
    <s v="Radha Sharma"/>
    <n v="23"/>
    <x v="1"/>
    <s v="Cash"/>
    <n v="4"/>
    <s v="Galaxy Note 20"/>
  </r>
  <r>
    <n v="542"/>
    <n v="11"/>
    <n v="3"/>
    <n v="2022"/>
    <s v="Friday"/>
    <x v="3"/>
    <n v="6"/>
    <n v="15643.59"/>
    <s v="Nikhil Chaudhary"/>
    <n v="19"/>
    <x v="4"/>
    <s v="Credit Card"/>
    <n v="3"/>
    <s v="Galaxy A51"/>
  </r>
  <r>
    <n v="543"/>
    <n v="11"/>
    <n v="3"/>
    <n v="2022"/>
    <s v="Friday"/>
    <x v="4"/>
    <n v="2"/>
    <n v="67083.78"/>
    <s v="Harish Mishra"/>
    <n v="32"/>
    <x v="6"/>
    <s v="Cash"/>
    <n v="3"/>
    <s v="iPhone SE"/>
  </r>
  <r>
    <n v="544"/>
    <n v="11"/>
    <n v="3"/>
    <n v="2022"/>
    <s v="Friday"/>
    <x v="1"/>
    <n v="9"/>
    <n v="47339"/>
    <s v="Sanjay Menon"/>
    <n v="34"/>
    <x v="10"/>
    <s v="Credit Card"/>
    <n v="2"/>
    <s v="Vivo S1"/>
  </r>
  <r>
    <n v="545"/>
    <n v="12"/>
    <n v="3"/>
    <n v="2022"/>
    <s v="Saturday"/>
    <x v="0"/>
    <n v="2"/>
    <n v="52403.11"/>
    <s v="Sunil Rao"/>
    <n v="33"/>
    <x v="10"/>
    <s v="Credit Card"/>
    <n v="3"/>
    <s v="Redmi 9"/>
  </r>
  <r>
    <n v="546"/>
    <n v="12"/>
    <n v="3"/>
    <n v="2022"/>
    <s v="Saturday"/>
    <x v="3"/>
    <n v="5"/>
    <n v="27882.36"/>
    <s v="Kiran Solanki"/>
    <n v="45"/>
    <x v="1"/>
    <s v="Credit Card"/>
    <n v="4"/>
    <s v="Galaxy S21"/>
  </r>
  <r>
    <n v="547"/>
    <n v="12"/>
    <n v="3"/>
    <n v="2022"/>
    <s v="Saturday"/>
    <x v="1"/>
    <n v="4"/>
    <n v="34725.79"/>
    <s v="Deepika Das"/>
    <n v="38"/>
    <x v="17"/>
    <s v="Credit Card"/>
    <n v="5"/>
    <s v="Vivo Y51"/>
  </r>
  <r>
    <n v="548"/>
    <n v="13"/>
    <n v="3"/>
    <n v="2022"/>
    <s v="Sunday"/>
    <x v="1"/>
    <n v="7"/>
    <n v="23426.7"/>
    <s v="Kiran Singh"/>
    <n v="25"/>
    <x v="2"/>
    <s v="Cash"/>
    <n v="5"/>
    <s v="Vivo Y51"/>
  </r>
  <r>
    <n v="549"/>
    <n v="13"/>
    <n v="3"/>
    <n v="2022"/>
    <s v="Sunday"/>
    <x v="0"/>
    <n v="8"/>
    <n v="65952.17"/>
    <s v="Ramesh Kumar"/>
    <n v="27"/>
    <x v="5"/>
    <s v="Cash"/>
    <n v="5"/>
    <s v="Mi 11"/>
  </r>
  <r>
    <n v="550"/>
    <n v="13"/>
    <n v="3"/>
    <n v="2022"/>
    <s v="Sunday"/>
    <x v="4"/>
    <n v="5"/>
    <n v="39286.269999999997"/>
    <s v="Bhavana Mehta"/>
    <n v="27"/>
    <x v="11"/>
    <s v="Debit Card"/>
    <n v="5"/>
    <s v="iPhone 11"/>
  </r>
  <r>
    <n v="551"/>
    <n v="13"/>
    <n v="3"/>
    <n v="2022"/>
    <s v="Sunday"/>
    <x v="2"/>
    <n v="5"/>
    <n v="47826.89"/>
    <s v="Rohan Pathak"/>
    <n v="27"/>
    <x v="17"/>
    <s v="Cash"/>
    <n v="2"/>
    <s v="OnePlus Nord"/>
  </r>
  <r>
    <n v="552"/>
    <n v="14"/>
    <n v="3"/>
    <n v="2022"/>
    <s v="Monday"/>
    <x v="2"/>
    <n v="2"/>
    <n v="54056.32"/>
    <s v="Yogesh Patel"/>
    <n v="26"/>
    <x v="16"/>
    <s v="UPI"/>
    <n v="5"/>
    <s v="OnePlus 9"/>
  </r>
  <r>
    <n v="553"/>
    <n v="14"/>
    <n v="3"/>
    <n v="2022"/>
    <s v="Monday"/>
    <x v="1"/>
    <n v="8"/>
    <n v="32266.37"/>
    <s v="Bhavana Bhatnagar"/>
    <n v="45"/>
    <x v="6"/>
    <s v="UPI"/>
    <n v="5"/>
    <s v="Vivo Y51"/>
  </r>
  <r>
    <n v="554"/>
    <n v="14"/>
    <n v="3"/>
    <n v="2022"/>
    <s v="Monday"/>
    <x v="0"/>
    <n v="2"/>
    <n v="53206.1"/>
    <s v="Meena Verma"/>
    <n v="41"/>
    <x v="12"/>
    <s v="Credit Card"/>
    <n v="5"/>
    <s v="Mi 11"/>
  </r>
  <r>
    <n v="555"/>
    <n v="15"/>
    <n v="3"/>
    <n v="2022"/>
    <s v="Tuesday"/>
    <x v="2"/>
    <n v="6"/>
    <n v="50559.55"/>
    <s v="Priyanka Chatterjee"/>
    <n v="36"/>
    <x v="2"/>
    <s v="Credit Card"/>
    <n v="5"/>
    <s v="OnePlus 8T"/>
  </r>
  <r>
    <n v="556"/>
    <n v="15"/>
    <n v="3"/>
    <n v="2022"/>
    <s v="Tuesday"/>
    <x v="1"/>
    <n v="8"/>
    <n v="52339.56"/>
    <s v="Shruti Thakur"/>
    <n v="50"/>
    <x v="2"/>
    <s v="Credit Card"/>
    <n v="2"/>
    <s v="Vivo S1"/>
  </r>
  <r>
    <n v="557"/>
    <n v="15"/>
    <n v="3"/>
    <n v="2022"/>
    <s v="Tuesday"/>
    <x v="4"/>
    <n v="6"/>
    <n v="39353.79"/>
    <s v="Vijay Malhotra"/>
    <n v="21"/>
    <x v="15"/>
    <s v="Debit Card"/>
    <n v="5"/>
    <s v="iPhone 11"/>
  </r>
  <r>
    <n v="558"/>
    <n v="15"/>
    <n v="3"/>
    <n v="2022"/>
    <s v="Tuesday"/>
    <x v="2"/>
    <n v="4"/>
    <n v="32976.239999999998"/>
    <s v="Jyoti Alva"/>
    <n v="20"/>
    <x v="2"/>
    <s v="Credit Card"/>
    <n v="2"/>
    <s v="OnePlus 8T"/>
  </r>
  <r>
    <n v="559"/>
    <n v="16"/>
    <n v="3"/>
    <n v="2022"/>
    <s v="Wednesday"/>
    <x v="1"/>
    <n v="4"/>
    <n v="23324.93"/>
    <s v="Monika Chatterjee"/>
    <n v="59"/>
    <x v="9"/>
    <s v="Debit Card"/>
    <n v="2"/>
    <s v="Vivo V20"/>
  </r>
  <r>
    <n v="560"/>
    <n v="16"/>
    <n v="3"/>
    <n v="2022"/>
    <s v="Wednesday"/>
    <x v="1"/>
    <n v="6"/>
    <n v="59477.58"/>
    <s v="Ayesha Sheth"/>
    <n v="29"/>
    <x v="12"/>
    <s v="Credit Card"/>
    <n v="4"/>
    <s v="Vivo S1"/>
  </r>
  <r>
    <n v="561"/>
    <n v="16"/>
    <n v="3"/>
    <n v="2022"/>
    <s v="Wednesday"/>
    <x v="3"/>
    <n v="4"/>
    <n v="46501"/>
    <s v="Vivek Rawat"/>
    <n v="35"/>
    <x v="10"/>
    <s v="UPI"/>
    <n v="5"/>
    <s v="Galaxy S21"/>
  </r>
  <r>
    <n v="562"/>
    <n v="17"/>
    <n v="3"/>
    <n v="2022"/>
    <s v="Thursday"/>
    <x v="4"/>
    <n v="8"/>
    <n v="36661.129999999997"/>
    <s v="Sneha Mishra"/>
    <n v="40"/>
    <x v="11"/>
    <s v="Credit Card"/>
    <n v="5"/>
    <s v="iPhone 11"/>
  </r>
  <r>
    <n v="563"/>
    <n v="17"/>
    <n v="3"/>
    <n v="2022"/>
    <s v="Thursday"/>
    <x v="3"/>
    <n v="9"/>
    <n v="66639.75"/>
    <s v="Bhavana Bhatnagar"/>
    <n v="37"/>
    <x v="9"/>
    <s v="Cash"/>
    <n v="3"/>
    <s v="Galaxy A51"/>
  </r>
  <r>
    <n v="564"/>
    <n v="17"/>
    <n v="3"/>
    <n v="2022"/>
    <s v="Thursday"/>
    <x v="0"/>
    <n v="1"/>
    <n v="12870.33"/>
    <s v="Pankaj Patel"/>
    <n v="23"/>
    <x v="6"/>
    <s v="Credit Card"/>
    <n v="5"/>
    <s v="Mi 11"/>
  </r>
  <r>
    <n v="565"/>
    <n v="17"/>
    <n v="3"/>
    <n v="2022"/>
    <s v="Thursday"/>
    <x v="3"/>
    <n v="4"/>
    <n v="61010.32"/>
    <s v="Shruti Dutta"/>
    <n v="51"/>
    <x v="1"/>
    <s v="Cash"/>
    <n v="4"/>
    <s v="Galaxy Note 20"/>
  </r>
  <r>
    <n v="566"/>
    <n v="18"/>
    <n v="3"/>
    <n v="2022"/>
    <s v="Friday"/>
    <x v="3"/>
    <n v="4"/>
    <n v="69854.960000000006"/>
    <s v="Mala Siddiqui"/>
    <n v="59"/>
    <x v="14"/>
    <s v="Cash"/>
    <n v="5"/>
    <s v="Galaxy A51"/>
  </r>
  <r>
    <n v="567"/>
    <n v="18"/>
    <n v="3"/>
    <n v="2022"/>
    <s v="Friday"/>
    <x v="2"/>
    <n v="2"/>
    <n v="63216.53"/>
    <s v="Nikhil Reddy"/>
    <n v="19"/>
    <x v="3"/>
    <s v="Cash"/>
    <n v="3"/>
    <s v="OnePlus 9"/>
  </r>
  <r>
    <n v="568"/>
    <n v="18"/>
    <n v="3"/>
    <n v="2022"/>
    <s v="Friday"/>
    <x v="1"/>
    <n v="6"/>
    <n v="58626.2"/>
    <s v="Mala Siddiqui"/>
    <n v="47"/>
    <x v="16"/>
    <s v="Cash"/>
    <n v="4"/>
    <s v="Vivo S1"/>
  </r>
  <r>
    <n v="569"/>
    <n v="19"/>
    <n v="3"/>
    <n v="2022"/>
    <s v="Saturday"/>
    <x v="4"/>
    <n v="3"/>
    <n v="32458.36"/>
    <s v="Kiran Malhotra"/>
    <n v="26"/>
    <x v="1"/>
    <s v="Debit Card"/>
    <n v="2"/>
    <s v="iPhone SE"/>
  </r>
  <r>
    <n v="570"/>
    <n v="19"/>
    <n v="3"/>
    <n v="2022"/>
    <s v="Saturday"/>
    <x v="3"/>
    <n v="7"/>
    <n v="23878.85"/>
    <s v="Pankaj Kapoor"/>
    <n v="44"/>
    <x v="1"/>
    <s v="Debit Card"/>
    <n v="5"/>
    <s v="Galaxy S21"/>
  </r>
  <r>
    <n v="571"/>
    <n v="19"/>
    <n v="3"/>
    <n v="2022"/>
    <s v="Saturday"/>
    <x v="4"/>
    <n v="5"/>
    <n v="54091.03"/>
    <s v="Vivek Ghosh"/>
    <n v="59"/>
    <x v="1"/>
    <s v="Credit Card"/>
    <n v="5"/>
    <s v="iPhone SE"/>
  </r>
  <r>
    <n v="572"/>
    <n v="20"/>
    <n v="3"/>
    <n v="2022"/>
    <s v="Sunday"/>
    <x v="3"/>
    <n v="4"/>
    <n v="28274.52"/>
    <s v="Gita Teja"/>
    <n v="51"/>
    <x v="2"/>
    <s v="Credit Card"/>
    <n v="4"/>
    <s v="Galaxy S21"/>
  </r>
  <r>
    <n v="573"/>
    <n v="20"/>
    <n v="3"/>
    <n v="2022"/>
    <s v="Sunday"/>
    <x v="0"/>
    <n v="5"/>
    <n v="20562.38"/>
    <s v="Mala Goyal"/>
    <n v="57"/>
    <x v="14"/>
    <s v="Debit Card"/>
    <n v="3"/>
    <s v="Redmi Note 10"/>
  </r>
  <r>
    <n v="574"/>
    <n v="20"/>
    <n v="3"/>
    <n v="2022"/>
    <s v="Sunday"/>
    <x v="3"/>
    <n v="8"/>
    <n v="57191.55"/>
    <s v="Priya Mehta"/>
    <n v="41"/>
    <x v="17"/>
    <s v="Credit Card"/>
    <n v="5"/>
    <s v="Galaxy A51"/>
  </r>
  <r>
    <n v="575"/>
    <n v="20"/>
    <n v="3"/>
    <n v="2022"/>
    <s v="Sunday"/>
    <x v="2"/>
    <n v="3"/>
    <n v="28752.62"/>
    <s v="Kavita Dutta"/>
    <n v="34"/>
    <x v="1"/>
    <s v="Credit Card"/>
    <n v="2"/>
    <s v="OnePlus Nord"/>
  </r>
  <r>
    <n v="576"/>
    <n v="21"/>
    <n v="3"/>
    <n v="2022"/>
    <s v="Monday"/>
    <x v="1"/>
    <n v="7"/>
    <n v="64866.5"/>
    <s v="Rohan Singh"/>
    <n v="46"/>
    <x v="4"/>
    <s v="Debit Card"/>
    <n v="5"/>
    <s v="Vivo V20"/>
  </r>
  <r>
    <n v="577"/>
    <n v="21"/>
    <n v="3"/>
    <n v="2022"/>
    <s v="Monday"/>
    <x v="0"/>
    <n v="6"/>
    <n v="60437.96"/>
    <s v="Sneha Yadav"/>
    <n v="53"/>
    <x v="2"/>
    <s v="Debit Card"/>
    <n v="3"/>
    <s v="Redmi Note 10"/>
  </r>
  <r>
    <n v="578"/>
    <n v="21"/>
    <n v="3"/>
    <n v="2022"/>
    <s v="Monday"/>
    <x v="3"/>
    <n v="1"/>
    <n v="60858.42"/>
    <s v="Yogesh Reddy"/>
    <n v="29"/>
    <x v="14"/>
    <s v="Credit Card"/>
    <n v="2"/>
    <s v="Galaxy S21"/>
  </r>
  <r>
    <n v="579"/>
    <n v="21"/>
    <n v="3"/>
    <n v="2022"/>
    <s v="Monday"/>
    <x v="4"/>
    <n v="7"/>
    <n v="56294.18"/>
    <s v="Sneha Mehta"/>
    <n v="48"/>
    <x v="4"/>
    <s v="Debit Card"/>
    <n v="3"/>
    <s v="iPhone 12"/>
  </r>
  <r>
    <n v="580"/>
    <n v="22"/>
    <n v="3"/>
    <n v="2022"/>
    <s v="Tuesday"/>
    <x v="0"/>
    <n v="7"/>
    <n v="62852.89"/>
    <s v="Kavita Siddiqui"/>
    <n v="26"/>
    <x v="14"/>
    <s v="UPI"/>
    <n v="5"/>
    <s v="Redmi Note 10"/>
  </r>
  <r>
    <n v="581"/>
    <n v="22"/>
    <n v="3"/>
    <n v="2022"/>
    <s v="Tuesday"/>
    <x v="0"/>
    <n v="1"/>
    <n v="58344.81"/>
    <s v="Rajesh Siddiqui"/>
    <n v="36"/>
    <x v="1"/>
    <s v="Cash"/>
    <n v="3"/>
    <s v="Redmi 9"/>
  </r>
  <r>
    <n v="582"/>
    <n v="22"/>
    <n v="3"/>
    <n v="2022"/>
    <s v="Tuesday"/>
    <x v="3"/>
    <n v="9"/>
    <n v="46150.68"/>
    <s v="Nikhil Solanki"/>
    <n v="34"/>
    <x v="0"/>
    <s v="Cash"/>
    <n v="5"/>
    <s v="Galaxy Note 20"/>
  </r>
  <r>
    <n v="583"/>
    <n v="22"/>
    <n v="3"/>
    <n v="2022"/>
    <s v="Tuesday"/>
    <x v="0"/>
    <n v="6"/>
    <n v="27749.360000000001"/>
    <s v="Jyoti Mehta"/>
    <n v="19"/>
    <x v="8"/>
    <s v="UPI"/>
    <n v="5"/>
    <s v="Redmi 9"/>
  </r>
  <r>
    <n v="584"/>
    <n v="23"/>
    <n v="3"/>
    <n v="2022"/>
    <s v="Wednesday"/>
    <x v="4"/>
    <n v="2"/>
    <n v="63292.55"/>
    <s v="Bhavana Srivastava"/>
    <n v="57"/>
    <x v="2"/>
    <s v="UPI"/>
    <n v="5"/>
    <s v="iPhone 11"/>
  </r>
  <r>
    <n v="585"/>
    <n v="23"/>
    <n v="3"/>
    <n v="2022"/>
    <s v="Wednesday"/>
    <x v="0"/>
    <n v="5"/>
    <n v="60436.22"/>
    <s v="Lata Kaur"/>
    <n v="22"/>
    <x v="1"/>
    <s v="Credit Card"/>
    <n v="4"/>
    <s v="Redmi Note 10"/>
  </r>
  <r>
    <n v="586"/>
    <n v="23"/>
    <n v="3"/>
    <n v="2022"/>
    <s v="Wednesday"/>
    <x v="4"/>
    <n v="4"/>
    <n v="38372.76"/>
    <s v="Ramesh Dutta"/>
    <n v="56"/>
    <x v="1"/>
    <s v="Credit Card"/>
    <n v="5"/>
    <s v="iPhone SE"/>
  </r>
  <r>
    <n v="587"/>
    <n v="24"/>
    <n v="3"/>
    <n v="2022"/>
    <s v="Thursday"/>
    <x v="3"/>
    <n v="7"/>
    <n v="12344.72"/>
    <s v="Amit Sheth"/>
    <n v="33"/>
    <x v="2"/>
    <s v="Cash"/>
    <n v="5"/>
    <s v="Galaxy Note 20"/>
  </r>
  <r>
    <n v="588"/>
    <n v="24"/>
    <n v="3"/>
    <n v="2022"/>
    <s v="Thursday"/>
    <x v="1"/>
    <n v="8"/>
    <n v="48312.62"/>
    <s v="Kavita Bhatnagar"/>
    <n v="34"/>
    <x v="5"/>
    <s v="Credit Card"/>
    <n v="5"/>
    <s v="Vivo V20"/>
  </r>
  <r>
    <n v="589"/>
    <n v="24"/>
    <n v="3"/>
    <n v="2022"/>
    <s v="Thursday"/>
    <x v="0"/>
    <n v="1"/>
    <n v="13035.81"/>
    <s v="Bina Goyal"/>
    <n v="44"/>
    <x v="3"/>
    <s v="Cash"/>
    <n v="3"/>
    <s v="Redmi 9"/>
  </r>
  <r>
    <n v="590"/>
    <n v="24"/>
    <n v="3"/>
    <n v="2022"/>
    <s v="Thursday"/>
    <x v="1"/>
    <n v="5"/>
    <n v="65576.800000000003"/>
    <s v="Manoj Mehta"/>
    <n v="24"/>
    <x v="4"/>
    <s v="Credit Card"/>
    <n v="3"/>
    <s v="Vivo Y51"/>
  </r>
  <r>
    <n v="591"/>
    <n v="25"/>
    <n v="3"/>
    <n v="2022"/>
    <s v="Friday"/>
    <x v="4"/>
    <n v="3"/>
    <n v="67697.88"/>
    <s v="Neeta Arora"/>
    <n v="25"/>
    <x v="2"/>
    <s v="Credit Card"/>
    <n v="5"/>
    <s v="iPhone SE"/>
  </r>
  <r>
    <n v="592"/>
    <n v="25"/>
    <n v="3"/>
    <n v="2022"/>
    <s v="Friday"/>
    <x v="0"/>
    <n v="1"/>
    <n v="21369.41"/>
    <s v="Priya Varma"/>
    <n v="25"/>
    <x v="2"/>
    <s v="Cash"/>
    <n v="3"/>
    <s v="Mi 11"/>
  </r>
  <r>
    <n v="593"/>
    <n v="25"/>
    <n v="3"/>
    <n v="2022"/>
    <s v="Friday"/>
    <x v="2"/>
    <n v="3"/>
    <n v="50583.360000000001"/>
    <s v="Jyoti Sheth"/>
    <n v="40"/>
    <x v="2"/>
    <s v="UPI"/>
    <n v="5"/>
    <s v="OnePlus Nord"/>
  </r>
  <r>
    <n v="594"/>
    <n v="26"/>
    <n v="3"/>
    <n v="2022"/>
    <s v="Saturday"/>
    <x v="1"/>
    <n v="6"/>
    <n v="15536.14"/>
    <s v="Shruti Iyer"/>
    <n v="49"/>
    <x v="4"/>
    <s v="UPI"/>
    <n v="5"/>
    <s v="Vivo S1"/>
  </r>
  <r>
    <n v="595"/>
    <n v="26"/>
    <n v="3"/>
    <n v="2022"/>
    <s v="Saturday"/>
    <x v="0"/>
    <n v="7"/>
    <n v="53771.02"/>
    <s v="Amit Rathod"/>
    <n v="35"/>
    <x v="18"/>
    <s v="Credit Card"/>
    <n v="3"/>
    <s v="Mi 11"/>
  </r>
  <r>
    <n v="596"/>
    <n v="26"/>
    <n v="3"/>
    <n v="2022"/>
    <s v="Saturday"/>
    <x v="1"/>
    <n v="8"/>
    <n v="30837.26"/>
    <s v="Vinod Joshi"/>
    <n v="55"/>
    <x v="7"/>
    <s v="UPI"/>
    <n v="3"/>
    <s v="Vivo S1"/>
  </r>
  <r>
    <n v="597"/>
    <n v="27"/>
    <n v="3"/>
    <n v="2022"/>
    <s v="Sunday"/>
    <x v="0"/>
    <n v="4"/>
    <n v="50863.01"/>
    <s v="Anjali Chatterjee"/>
    <n v="29"/>
    <x v="2"/>
    <s v="Credit Card"/>
    <n v="5"/>
    <s v="Redmi 9"/>
  </r>
  <r>
    <n v="598"/>
    <n v="27"/>
    <n v="3"/>
    <n v="2022"/>
    <s v="Sunday"/>
    <x v="3"/>
    <n v="3"/>
    <n v="32372.59"/>
    <s v="Devendra Mathur"/>
    <n v="32"/>
    <x v="13"/>
    <s v="Debit Card"/>
    <n v="5"/>
    <s v="Galaxy S21"/>
  </r>
  <r>
    <n v="599"/>
    <n v="27"/>
    <n v="3"/>
    <n v="2022"/>
    <s v="Sunday"/>
    <x v="1"/>
    <n v="5"/>
    <n v="18734.05"/>
    <s v="Deepika Sharma"/>
    <n v="45"/>
    <x v="1"/>
    <s v="Debit Card"/>
    <n v="5"/>
    <s v="Vivo Y51"/>
  </r>
  <r>
    <n v="600"/>
    <n v="27"/>
    <n v="3"/>
    <n v="2022"/>
    <s v="Sunday"/>
    <x v="2"/>
    <n v="9"/>
    <n v="34366.6"/>
    <s v="Mala Roy"/>
    <n v="55"/>
    <x v="1"/>
    <s v="Debit Card"/>
    <n v="3"/>
    <s v="OnePlus Nord"/>
  </r>
  <r>
    <n v="601"/>
    <n v="28"/>
    <n v="3"/>
    <n v="2022"/>
    <s v="Monday"/>
    <x v="2"/>
    <n v="6"/>
    <n v="16760.41"/>
    <s v="Harish Teja"/>
    <n v="48"/>
    <x v="2"/>
    <s v="UPI"/>
    <n v="4"/>
    <s v="OnePlus 8T"/>
  </r>
  <r>
    <n v="602"/>
    <n v="28"/>
    <n v="3"/>
    <n v="2022"/>
    <s v="Monday"/>
    <x v="4"/>
    <n v="9"/>
    <n v="44613"/>
    <s v="Lata Shah"/>
    <n v="26"/>
    <x v="18"/>
    <s v="UPI"/>
    <n v="5"/>
    <s v="iPhone SE"/>
  </r>
  <r>
    <n v="603"/>
    <n v="28"/>
    <n v="3"/>
    <n v="2022"/>
    <s v="Monday"/>
    <x v="0"/>
    <n v="6"/>
    <n v="12457.09"/>
    <s v="Deepika Deshmukh"/>
    <n v="25"/>
    <x v="13"/>
    <s v="Cash"/>
    <n v="4"/>
    <s v="Mi 11"/>
  </r>
  <r>
    <n v="604"/>
    <n v="28"/>
    <n v="3"/>
    <n v="2022"/>
    <s v="Monday"/>
    <x v="1"/>
    <n v="2"/>
    <n v="41639.18"/>
    <s v="Shruti Iyer"/>
    <n v="36"/>
    <x v="16"/>
    <s v="UPI"/>
    <n v="5"/>
    <s v="Vivo Y51"/>
  </r>
  <r>
    <n v="605"/>
    <n v="29"/>
    <n v="3"/>
    <n v="2022"/>
    <s v="Tuesday"/>
    <x v="4"/>
    <n v="5"/>
    <n v="63182.12"/>
    <s v="Harish Kapoor"/>
    <n v="25"/>
    <x v="17"/>
    <s v="Credit Card"/>
    <n v="5"/>
    <s v="iPhone 12"/>
  </r>
  <r>
    <n v="606"/>
    <n v="29"/>
    <n v="3"/>
    <n v="2022"/>
    <s v="Tuesday"/>
    <x v="1"/>
    <n v="9"/>
    <n v="60272.4"/>
    <s v="Rajesh Roy"/>
    <n v="51"/>
    <x v="2"/>
    <s v="Cash"/>
    <n v="4"/>
    <s v="Vivo V20"/>
  </r>
  <r>
    <n v="607"/>
    <n v="29"/>
    <n v="3"/>
    <n v="2022"/>
    <s v="Tuesday"/>
    <x v="0"/>
    <n v="8"/>
    <n v="62966.9"/>
    <s v="Sachin Iyer"/>
    <n v="21"/>
    <x v="2"/>
    <s v="UPI"/>
    <n v="5"/>
    <s v="Mi 11"/>
  </r>
  <r>
    <n v="608"/>
    <n v="30"/>
    <n v="3"/>
    <n v="2022"/>
    <s v="Wednesday"/>
    <x v="2"/>
    <n v="7"/>
    <n v="65322.93"/>
    <s v="Rajesh Arora"/>
    <n v="48"/>
    <x v="8"/>
    <s v="Cash"/>
    <n v="4"/>
    <s v="OnePlus Nord"/>
  </r>
  <r>
    <n v="609"/>
    <n v="30"/>
    <n v="3"/>
    <n v="2022"/>
    <s v="Wednesday"/>
    <x v="3"/>
    <n v="1"/>
    <n v="16271.67"/>
    <s v="Sneha Teja"/>
    <n v="55"/>
    <x v="9"/>
    <s v="UPI"/>
    <n v="5"/>
    <s v="Galaxy Note 20"/>
  </r>
  <r>
    <n v="610"/>
    <n v="30"/>
    <n v="3"/>
    <n v="2022"/>
    <s v="Wednesday"/>
    <x v="2"/>
    <n v="4"/>
    <n v="17724.830000000002"/>
    <s v="Sachin Rawat"/>
    <n v="20"/>
    <x v="10"/>
    <s v="Credit Card"/>
    <n v="5"/>
    <s v="OnePlus Nord"/>
  </r>
  <r>
    <n v="611"/>
    <n v="31"/>
    <n v="3"/>
    <n v="2022"/>
    <s v="Thursday"/>
    <x v="4"/>
    <n v="7"/>
    <n v="43420.41"/>
    <s v="Lata Nambiar"/>
    <n v="52"/>
    <x v="13"/>
    <s v="Debit Card"/>
    <n v="5"/>
    <s v="iPhone 11"/>
  </r>
  <r>
    <n v="612"/>
    <n v="31"/>
    <n v="3"/>
    <n v="2022"/>
    <s v="Thursday"/>
    <x v="3"/>
    <n v="7"/>
    <n v="63638.36"/>
    <s v="Sachin Kaur"/>
    <n v="36"/>
    <x v="1"/>
    <s v="Debit Card"/>
    <n v="4"/>
    <s v="Galaxy S21"/>
  </r>
  <r>
    <n v="613"/>
    <n v="31"/>
    <n v="3"/>
    <n v="2022"/>
    <s v="Thursday"/>
    <x v="4"/>
    <n v="6"/>
    <n v="68460.97"/>
    <s v="Rohan Prasad"/>
    <n v="46"/>
    <x v="18"/>
    <s v="Credit Card"/>
    <n v="4"/>
    <s v="iPhone 12"/>
  </r>
  <r>
    <n v="614"/>
    <n v="31"/>
    <n v="3"/>
    <n v="2022"/>
    <s v="Thursday"/>
    <x v="0"/>
    <n v="8"/>
    <n v="12775.72"/>
    <s v="Vinod Nambiar"/>
    <n v="27"/>
    <x v="10"/>
    <s v="Cash"/>
    <n v="4"/>
    <s v="Redmi 9"/>
  </r>
  <r>
    <n v="615"/>
    <n v="1"/>
    <n v="4"/>
    <n v="2022"/>
    <s v="Friday"/>
    <x v="3"/>
    <n v="6"/>
    <n v="31346.45"/>
    <s v="Meena Prasad"/>
    <n v="29"/>
    <x v="13"/>
    <s v="Debit Card"/>
    <n v="5"/>
    <s v="Galaxy Note 20"/>
  </r>
  <r>
    <n v="616"/>
    <n v="1"/>
    <n v="4"/>
    <n v="2022"/>
    <s v="Friday"/>
    <x v="4"/>
    <n v="3"/>
    <n v="22773.66"/>
    <s v="Vinod Arora"/>
    <n v="47"/>
    <x v="2"/>
    <s v="UPI"/>
    <n v="4"/>
    <s v="iPhone SE"/>
  </r>
  <r>
    <n v="617"/>
    <n v="1"/>
    <n v="4"/>
    <n v="2022"/>
    <s v="Friday"/>
    <x v="0"/>
    <n v="4"/>
    <n v="55357.95"/>
    <s v="Navin Joshi"/>
    <n v="47"/>
    <x v="14"/>
    <s v="UPI"/>
    <n v="5"/>
    <s v="Redmi Note 10"/>
  </r>
  <r>
    <n v="618"/>
    <n v="1"/>
    <n v="4"/>
    <n v="2022"/>
    <s v="Friday"/>
    <x v="2"/>
    <n v="3"/>
    <n v="48411.63"/>
    <s v="Sneha Yadav"/>
    <n v="35"/>
    <x v="16"/>
    <s v="Cash"/>
    <n v="4"/>
    <s v="OnePlus 8T"/>
  </r>
  <r>
    <n v="619"/>
    <n v="2"/>
    <n v="4"/>
    <n v="2022"/>
    <s v="Saturday"/>
    <x v="0"/>
    <n v="1"/>
    <n v="17193.28"/>
    <s v="Neeta Deshmukh"/>
    <n v="41"/>
    <x v="7"/>
    <s v="Cash"/>
    <n v="5"/>
    <s v="Redmi Note 10"/>
  </r>
  <r>
    <n v="620"/>
    <n v="2"/>
    <n v="4"/>
    <n v="2022"/>
    <s v="Saturday"/>
    <x v="1"/>
    <n v="5"/>
    <n v="39011.32"/>
    <s v="Mala Kulkarni"/>
    <n v="49"/>
    <x v="0"/>
    <s v="Credit Card"/>
    <n v="5"/>
    <s v="Vivo V20"/>
  </r>
  <r>
    <n v="621"/>
    <n v="2"/>
    <n v="4"/>
    <n v="2022"/>
    <s v="Saturday"/>
    <x v="0"/>
    <n v="1"/>
    <n v="51126.43"/>
    <s v="Sanjay Jain"/>
    <n v="26"/>
    <x v="1"/>
    <s v="Debit Card"/>
    <n v="5"/>
    <s v="Mi 11"/>
  </r>
  <r>
    <n v="622"/>
    <n v="2"/>
    <n v="4"/>
    <n v="2022"/>
    <s v="Saturday"/>
    <x v="0"/>
    <n v="1"/>
    <n v="56740.32"/>
    <s v="Rajesh Chatterjee"/>
    <n v="41"/>
    <x v="1"/>
    <s v="Cash"/>
    <n v="5"/>
    <s v="Redmi 9"/>
  </r>
  <r>
    <n v="623"/>
    <n v="3"/>
    <n v="4"/>
    <n v="2022"/>
    <s v="Sunday"/>
    <x v="1"/>
    <n v="2"/>
    <n v="11203.16"/>
    <s v="Namita Deshmukh"/>
    <n v="43"/>
    <x v="1"/>
    <s v="Debit Card"/>
    <n v="5"/>
    <s v="Vivo Y51"/>
  </r>
  <r>
    <n v="624"/>
    <n v="3"/>
    <n v="4"/>
    <n v="2022"/>
    <s v="Sunday"/>
    <x v="4"/>
    <n v="4"/>
    <n v="63428.17"/>
    <s v="Ayesha Luthra"/>
    <n v="20"/>
    <x v="16"/>
    <s v="Debit Card"/>
    <n v="5"/>
    <s v="iPhone 12"/>
  </r>
  <r>
    <n v="625"/>
    <n v="3"/>
    <n v="4"/>
    <n v="2022"/>
    <s v="Sunday"/>
    <x v="4"/>
    <n v="6"/>
    <n v="44156.88"/>
    <s v="Krishna Rawat"/>
    <n v="40"/>
    <x v="2"/>
    <s v="UPI"/>
    <n v="5"/>
    <s v="iPhone 12"/>
  </r>
  <r>
    <n v="626"/>
    <n v="4"/>
    <n v="4"/>
    <n v="2022"/>
    <s v="Monday"/>
    <x v="0"/>
    <n v="8"/>
    <n v="58714.55"/>
    <s v="Gita Dutta"/>
    <n v="28"/>
    <x v="1"/>
    <s v="Cash"/>
    <n v="4"/>
    <s v="Redmi Note 10"/>
  </r>
  <r>
    <n v="627"/>
    <n v="4"/>
    <n v="4"/>
    <n v="2022"/>
    <s v="Monday"/>
    <x v="1"/>
    <n v="3"/>
    <n v="58476.28"/>
    <s v="Devendra Singh"/>
    <n v="27"/>
    <x v="11"/>
    <s v="Credit Card"/>
    <n v="3"/>
    <s v="Vivo V20"/>
  </r>
  <r>
    <n v="628"/>
    <n v="4"/>
    <n v="4"/>
    <n v="2022"/>
    <s v="Monday"/>
    <x v="1"/>
    <n v="1"/>
    <n v="21391.16"/>
    <s v="Rajesh Ghosh"/>
    <n v="53"/>
    <x v="14"/>
    <s v="Cash"/>
    <n v="5"/>
    <s v="Vivo S1"/>
  </r>
  <r>
    <n v="629"/>
    <n v="5"/>
    <n v="4"/>
    <n v="2022"/>
    <s v="Tuesday"/>
    <x v="2"/>
    <n v="3"/>
    <n v="16610.330000000002"/>
    <s v="Vivek Bhatnagar"/>
    <n v="30"/>
    <x v="2"/>
    <s v="Debit Card"/>
    <n v="5"/>
    <s v="OnePlus 8T"/>
  </r>
  <r>
    <n v="630"/>
    <n v="5"/>
    <n v="4"/>
    <n v="2022"/>
    <s v="Tuesday"/>
    <x v="4"/>
    <n v="3"/>
    <n v="53277.24"/>
    <s v="Krishna Chatterjee"/>
    <n v="46"/>
    <x v="9"/>
    <s v="UPI"/>
    <n v="5"/>
    <s v="iPhone 11"/>
  </r>
  <r>
    <n v="631"/>
    <n v="5"/>
    <n v="4"/>
    <n v="2022"/>
    <s v="Tuesday"/>
    <x v="3"/>
    <n v="5"/>
    <n v="19385.62"/>
    <s v="Shruti Menon"/>
    <n v="55"/>
    <x v="5"/>
    <s v="Cash"/>
    <n v="5"/>
    <s v="Galaxy A51"/>
  </r>
  <r>
    <n v="632"/>
    <n v="6"/>
    <n v="4"/>
    <n v="2022"/>
    <s v="Wednesday"/>
    <x v="4"/>
    <n v="4"/>
    <n v="60996.25"/>
    <s v="Pooja Dutta"/>
    <n v="30"/>
    <x v="1"/>
    <s v="Cash"/>
    <n v="5"/>
    <s v="iPhone SE"/>
  </r>
  <r>
    <n v="633"/>
    <n v="6"/>
    <n v="4"/>
    <n v="2022"/>
    <s v="Wednesday"/>
    <x v="4"/>
    <n v="4"/>
    <n v="53571.37"/>
    <s v="Isha Dutta"/>
    <n v="43"/>
    <x v="7"/>
    <s v="Cash"/>
    <n v="5"/>
    <s v="iPhone 12"/>
  </r>
  <r>
    <n v="634"/>
    <n v="6"/>
    <n v="4"/>
    <n v="2022"/>
    <s v="Wednesday"/>
    <x v="2"/>
    <n v="9"/>
    <n v="60509.52"/>
    <s v="Rajesh Pathak"/>
    <n v="37"/>
    <x v="1"/>
    <s v="Credit Card"/>
    <n v="5"/>
    <s v="OnePlus 8T"/>
  </r>
  <r>
    <n v="635"/>
    <n v="7"/>
    <n v="4"/>
    <n v="2022"/>
    <s v="Thursday"/>
    <x v="3"/>
    <n v="7"/>
    <n v="27940.76"/>
    <s v="Kavita Jain"/>
    <n v="22"/>
    <x v="17"/>
    <s v="Credit Card"/>
    <n v="3"/>
    <s v="Galaxy Note 20"/>
  </r>
  <r>
    <n v="636"/>
    <n v="7"/>
    <n v="4"/>
    <n v="2022"/>
    <s v="Thursday"/>
    <x v="2"/>
    <n v="4"/>
    <n v="28995.88"/>
    <s v="Umesh Teja"/>
    <n v="37"/>
    <x v="16"/>
    <s v="Credit Card"/>
    <n v="5"/>
    <s v="OnePlus 8T"/>
  </r>
  <r>
    <n v="637"/>
    <n v="7"/>
    <n v="4"/>
    <n v="2022"/>
    <s v="Thursday"/>
    <x v="3"/>
    <n v="3"/>
    <n v="50273.29"/>
    <s v="Anand Siddiqui"/>
    <n v="31"/>
    <x v="1"/>
    <s v="Credit Card"/>
    <n v="4"/>
    <s v="Galaxy A51"/>
  </r>
  <r>
    <n v="638"/>
    <n v="8"/>
    <n v="4"/>
    <n v="2022"/>
    <s v="Friday"/>
    <x v="0"/>
    <n v="6"/>
    <n v="11886.76"/>
    <s v="Kavita Goyal"/>
    <n v="31"/>
    <x v="2"/>
    <s v="UPI"/>
    <n v="5"/>
    <s v="Redmi Note 10"/>
  </r>
  <r>
    <n v="639"/>
    <n v="8"/>
    <n v="4"/>
    <n v="2022"/>
    <s v="Friday"/>
    <x v="3"/>
    <n v="3"/>
    <n v="53589.8"/>
    <s v="Ramesh Mishra"/>
    <n v="25"/>
    <x v="1"/>
    <s v="UPI"/>
    <n v="3"/>
    <s v="Galaxy S21"/>
  </r>
  <r>
    <n v="640"/>
    <n v="8"/>
    <n v="4"/>
    <n v="2022"/>
    <s v="Friday"/>
    <x v="2"/>
    <n v="6"/>
    <n v="60146.98"/>
    <s v="Kiran Ghosh"/>
    <n v="30"/>
    <x v="4"/>
    <s v="Credit Card"/>
    <n v="5"/>
    <s v="OnePlus 8T"/>
  </r>
  <r>
    <n v="641"/>
    <n v="9"/>
    <n v="4"/>
    <n v="2022"/>
    <s v="Saturday"/>
    <x v="4"/>
    <n v="9"/>
    <n v="34909.82"/>
    <s v="Navin Malhotra"/>
    <n v="41"/>
    <x v="1"/>
    <s v="Debit Card"/>
    <n v="4"/>
    <s v="iPhone 12"/>
  </r>
  <r>
    <n v="642"/>
    <n v="9"/>
    <n v="4"/>
    <n v="2022"/>
    <s v="Saturday"/>
    <x v="3"/>
    <n v="6"/>
    <n v="55892.73"/>
    <s v="Lalita Thakur"/>
    <n v="32"/>
    <x v="2"/>
    <s v="Credit Card"/>
    <n v="4"/>
    <s v="Galaxy A51"/>
  </r>
  <r>
    <n v="643"/>
    <n v="9"/>
    <n v="4"/>
    <n v="2022"/>
    <s v="Saturday"/>
    <x v="3"/>
    <n v="4"/>
    <n v="20476.66"/>
    <s v="Harish Kaur"/>
    <n v="18"/>
    <x v="1"/>
    <s v="Credit Card"/>
    <n v="4"/>
    <s v="Galaxy A51"/>
  </r>
  <r>
    <n v="644"/>
    <n v="9"/>
    <n v="4"/>
    <n v="2022"/>
    <s v="Saturday"/>
    <x v="1"/>
    <n v="5"/>
    <n v="29335.62"/>
    <s v="Anjali Patel"/>
    <n v="39"/>
    <x v="2"/>
    <s v="Debit Card"/>
    <n v="5"/>
    <s v="Vivo Y51"/>
  </r>
  <r>
    <n v="645"/>
    <n v="10"/>
    <n v="4"/>
    <n v="2022"/>
    <s v="Sunday"/>
    <x v="4"/>
    <n v="6"/>
    <n v="68458.3"/>
    <s v="Kavita Mehta"/>
    <n v="51"/>
    <x v="11"/>
    <s v="Cash"/>
    <n v="5"/>
    <s v="iPhone 12"/>
  </r>
  <r>
    <n v="646"/>
    <n v="10"/>
    <n v="4"/>
    <n v="2022"/>
    <s v="Sunday"/>
    <x v="0"/>
    <n v="3"/>
    <n v="69179.69"/>
    <s v="Anjali Sharma"/>
    <n v="57"/>
    <x v="1"/>
    <s v="Debit Card"/>
    <n v="3"/>
    <s v="Redmi 9"/>
  </r>
  <r>
    <n v="647"/>
    <n v="10"/>
    <n v="4"/>
    <n v="2022"/>
    <s v="Sunday"/>
    <x v="2"/>
    <n v="8"/>
    <n v="40756.300000000003"/>
    <s v="Pooja Pillai"/>
    <n v="20"/>
    <x v="10"/>
    <s v="Debit Card"/>
    <n v="4"/>
    <s v="OnePlus Nord"/>
  </r>
  <r>
    <n v="648"/>
    <n v="11"/>
    <n v="4"/>
    <n v="2022"/>
    <s v="Monday"/>
    <x v="0"/>
    <n v="4"/>
    <n v="66056.19"/>
    <s v="Priyanka Ghosh"/>
    <n v="43"/>
    <x v="4"/>
    <s v="UPI"/>
    <n v="5"/>
    <s v="Redmi 9"/>
  </r>
  <r>
    <n v="649"/>
    <n v="11"/>
    <n v="4"/>
    <n v="2022"/>
    <s v="Monday"/>
    <x v="4"/>
    <n v="8"/>
    <n v="41363.839999999997"/>
    <s v="Manoj Jain"/>
    <n v="31"/>
    <x v="1"/>
    <s v="Cash"/>
    <n v="5"/>
    <s v="iPhone SE"/>
  </r>
  <r>
    <n v="650"/>
    <n v="11"/>
    <n v="4"/>
    <n v="2022"/>
    <s v="Monday"/>
    <x v="3"/>
    <n v="3"/>
    <n v="27495.29"/>
    <s v="Harish Mehta"/>
    <n v="58"/>
    <x v="6"/>
    <s v="Debit Card"/>
    <n v="5"/>
    <s v="Galaxy S21"/>
  </r>
  <r>
    <n v="651"/>
    <n v="12"/>
    <n v="4"/>
    <n v="2022"/>
    <s v="Tuesday"/>
    <x v="3"/>
    <n v="7"/>
    <n v="26013.96"/>
    <s v="Priyanka Pathak"/>
    <n v="25"/>
    <x v="6"/>
    <s v="Credit Card"/>
    <n v="5"/>
    <s v="Galaxy A51"/>
  </r>
  <r>
    <n v="652"/>
    <n v="12"/>
    <n v="4"/>
    <n v="2022"/>
    <s v="Tuesday"/>
    <x v="4"/>
    <n v="9"/>
    <n v="65770.34"/>
    <s v="Arun Dutta"/>
    <n v="33"/>
    <x v="2"/>
    <s v="Debit Card"/>
    <n v="3"/>
    <s v="iPhone SE"/>
  </r>
  <r>
    <n v="653"/>
    <n v="12"/>
    <n v="4"/>
    <n v="2022"/>
    <s v="Tuesday"/>
    <x v="3"/>
    <n v="4"/>
    <n v="20346.78"/>
    <s v="Amit Ghosh"/>
    <n v="59"/>
    <x v="7"/>
    <s v="UPI"/>
    <n v="5"/>
    <s v="Galaxy S21"/>
  </r>
  <r>
    <n v="654"/>
    <n v="13"/>
    <n v="4"/>
    <n v="2022"/>
    <s v="Wednesday"/>
    <x v="3"/>
    <n v="8"/>
    <n v="44777.95"/>
    <s v="Anita Shah"/>
    <n v="38"/>
    <x v="9"/>
    <s v="Debit Card"/>
    <n v="4"/>
    <s v="Galaxy Note 20"/>
  </r>
  <r>
    <n v="655"/>
    <n v="13"/>
    <n v="4"/>
    <n v="2022"/>
    <s v="Wednesday"/>
    <x v="3"/>
    <n v="3"/>
    <n v="43331.5"/>
    <s v="Tanuja Mathur"/>
    <n v="27"/>
    <x v="7"/>
    <s v="Credit Card"/>
    <n v="5"/>
    <s v="Galaxy Note 20"/>
  </r>
  <r>
    <n v="656"/>
    <n v="13"/>
    <n v="4"/>
    <n v="2022"/>
    <s v="Wednesday"/>
    <x v="2"/>
    <n v="7"/>
    <n v="54377.3"/>
    <s v="Bhavana Sheth"/>
    <n v="42"/>
    <x v="18"/>
    <s v="Cash"/>
    <n v="3"/>
    <s v="OnePlus Nord"/>
  </r>
  <r>
    <n v="657"/>
    <n v="13"/>
    <n v="4"/>
    <n v="2022"/>
    <s v="Wednesday"/>
    <x v="2"/>
    <n v="3"/>
    <n v="39954.57"/>
    <s v="Sachin Arora"/>
    <n v="55"/>
    <x v="1"/>
    <s v="UPI"/>
    <n v="5"/>
    <s v="OnePlus 8T"/>
  </r>
  <r>
    <n v="658"/>
    <n v="14"/>
    <n v="4"/>
    <n v="2022"/>
    <s v="Thursday"/>
    <x v="1"/>
    <n v="7"/>
    <n v="26337.14"/>
    <s v="Rajesh Chatterjee"/>
    <n v="39"/>
    <x v="2"/>
    <s v="Cash"/>
    <n v="3"/>
    <s v="Vivo V20"/>
  </r>
  <r>
    <n v="659"/>
    <n v="14"/>
    <n v="4"/>
    <n v="2022"/>
    <s v="Thursday"/>
    <x v="0"/>
    <n v="6"/>
    <n v="20163.79"/>
    <s v="Rajesh Prasad"/>
    <n v="21"/>
    <x v="2"/>
    <s v="UPI"/>
    <n v="5"/>
    <s v="Redmi 9"/>
  </r>
  <r>
    <n v="660"/>
    <n v="14"/>
    <n v="4"/>
    <n v="2022"/>
    <s v="Thursday"/>
    <x v="4"/>
    <n v="2"/>
    <n v="47249.13"/>
    <s v="Vijay Das"/>
    <n v="21"/>
    <x v="18"/>
    <s v="Credit Card"/>
    <n v="5"/>
    <s v="iPhone 12"/>
  </r>
  <r>
    <n v="661"/>
    <n v="15"/>
    <n v="4"/>
    <n v="2022"/>
    <s v="Friday"/>
    <x v="4"/>
    <n v="3"/>
    <n v="53139.45"/>
    <s v="Sunita Verma"/>
    <n v="47"/>
    <x v="5"/>
    <s v="UPI"/>
    <n v="5"/>
    <s v="iPhone 11"/>
  </r>
  <r>
    <n v="662"/>
    <n v="15"/>
    <n v="4"/>
    <n v="2022"/>
    <s v="Friday"/>
    <x v="4"/>
    <n v="6"/>
    <n v="44171.28"/>
    <s v="Sunita Sharma"/>
    <n v="19"/>
    <x v="11"/>
    <s v="Cash"/>
    <n v="5"/>
    <s v="iPhone 11"/>
  </r>
  <r>
    <n v="663"/>
    <n v="15"/>
    <n v="4"/>
    <n v="2022"/>
    <s v="Friday"/>
    <x v="1"/>
    <n v="4"/>
    <n v="54301.08"/>
    <s v="Radha Rao"/>
    <n v="46"/>
    <x v="1"/>
    <s v="Cash"/>
    <n v="4"/>
    <s v="Vivo S1"/>
  </r>
  <r>
    <n v="664"/>
    <n v="16"/>
    <n v="4"/>
    <n v="2022"/>
    <s v="Saturday"/>
    <x v="2"/>
    <n v="6"/>
    <n v="18491.27"/>
    <s v="Amit Teja"/>
    <n v="53"/>
    <x v="1"/>
    <s v="Debit Card"/>
    <n v="5"/>
    <s v="OnePlus 8T"/>
  </r>
  <r>
    <n v="665"/>
    <n v="16"/>
    <n v="4"/>
    <n v="2022"/>
    <s v="Saturday"/>
    <x v="1"/>
    <n v="1"/>
    <n v="62948.21"/>
    <s v="Monika Dutta"/>
    <n v="38"/>
    <x v="2"/>
    <s v="Cash"/>
    <n v="5"/>
    <s v="Vivo S1"/>
  </r>
  <r>
    <n v="666"/>
    <n v="16"/>
    <n v="4"/>
    <n v="2022"/>
    <s v="Saturday"/>
    <x v="4"/>
    <n v="1"/>
    <n v="44943.73"/>
    <s v="Namita Kapoor"/>
    <n v="38"/>
    <x v="7"/>
    <s v="Debit Card"/>
    <n v="3"/>
    <s v="iPhone SE"/>
  </r>
  <r>
    <n v="667"/>
    <n v="16"/>
    <n v="4"/>
    <n v="2022"/>
    <s v="Saturday"/>
    <x v="0"/>
    <n v="3"/>
    <n v="17610.64"/>
    <s v="Sunita Ahuja"/>
    <n v="38"/>
    <x v="7"/>
    <s v="Cash"/>
    <n v="5"/>
    <s v="Redmi Note 10"/>
  </r>
  <r>
    <n v="668"/>
    <n v="17"/>
    <n v="4"/>
    <n v="2022"/>
    <s v="Sunday"/>
    <x v="3"/>
    <n v="8"/>
    <n v="37715.51"/>
    <s v="Reena Desai"/>
    <n v="21"/>
    <x v="1"/>
    <s v="Debit Card"/>
    <n v="3"/>
    <s v="Galaxy Note 20"/>
  </r>
  <r>
    <n v="669"/>
    <n v="17"/>
    <n v="4"/>
    <n v="2022"/>
    <s v="Sunday"/>
    <x v="2"/>
    <n v="8"/>
    <n v="60687.5"/>
    <s v="Bhavana Mehta"/>
    <n v="18"/>
    <x v="13"/>
    <s v="Credit Card"/>
    <n v="5"/>
    <s v="OnePlus 8T"/>
  </r>
  <r>
    <n v="670"/>
    <n v="17"/>
    <n v="4"/>
    <n v="2022"/>
    <s v="Sunday"/>
    <x v="2"/>
    <n v="4"/>
    <n v="63853.73"/>
    <s v="Bina Teja"/>
    <n v="43"/>
    <x v="2"/>
    <s v="Debit Card"/>
    <n v="3"/>
    <s v="OnePlus Nord"/>
  </r>
  <r>
    <n v="671"/>
    <n v="18"/>
    <n v="4"/>
    <n v="2022"/>
    <s v="Monday"/>
    <x v="1"/>
    <n v="6"/>
    <n v="25878.97"/>
    <s v="Ravi Kumar"/>
    <n v="19"/>
    <x v="5"/>
    <s v="Cash"/>
    <n v="5"/>
    <s v="Vivo S1"/>
  </r>
  <r>
    <n v="672"/>
    <n v="18"/>
    <n v="4"/>
    <n v="2022"/>
    <s v="Monday"/>
    <x v="2"/>
    <n v="8"/>
    <n v="52675.95"/>
    <s v="Sunil Singh"/>
    <n v="26"/>
    <x v="1"/>
    <s v="Credit Card"/>
    <n v="5"/>
    <s v="OnePlus Nord"/>
  </r>
  <r>
    <n v="673"/>
    <n v="18"/>
    <n v="4"/>
    <n v="2022"/>
    <s v="Monday"/>
    <x v="4"/>
    <n v="7"/>
    <n v="15999.11"/>
    <s v="Meena Pillai"/>
    <n v="35"/>
    <x v="3"/>
    <s v="UPI"/>
    <n v="3"/>
    <s v="iPhone SE"/>
  </r>
  <r>
    <n v="674"/>
    <n v="19"/>
    <n v="4"/>
    <n v="2022"/>
    <s v="Tuesday"/>
    <x v="4"/>
    <n v="7"/>
    <n v="12012.75"/>
    <s v="Ayesha Siddiqui"/>
    <n v="59"/>
    <x v="2"/>
    <s v="Cash"/>
    <n v="4"/>
    <s v="iPhone 12"/>
  </r>
  <r>
    <n v="675"/>
    <n v="19"/>
    <n v="4"/>
    <n v="2022"/>
    <s v="Tuesday"/>
    <x v="1"/>
    <n v="4"/>
    <n v="43623.94"/>
    <s v="Bina Singh"/>
    <n v="58"/>
    <x v="1"/>
    <s v="Debit Card"/>
    <n v="5"/>
    <s v="Vivo Y51"/>
  </r>
  <r>
    <n v="676"/>
    <n v="19"/>
    <n v="4"/>
    <n v="2022"/>
    <s v="Tuesday"/>
    <x v="4"/>
    <n v="9"/>
    <n v="51689.65"/>
    <s v="Lata Patel"/>
    <n v="28"/>
    <x v="1"/>
    <s v="UPI"/>
    <n v="5"/>
    <s v="iPhone 12"/>
  </r>
  <r>
    <n v="677"/>
    <n v="20"/>
    <n v="4"/>
    <n v="2022"/>
    <s v="Wednesday"/>
    <x v="0"/>
    <n v="6"/>
    <n v="57747.199999999997"/>
    <s v="Lalita Shah"/>
    <n v="42"/>
    <x v="10"/>
    <s v="Debit Card"/>
    <n v="4"/>
    <s v="Mi 11"/>
  </r>
  <r>
    <n v="678"/>
    <n v="20"/>
    <n v="4"/>
    <n v="2022"/>
    <s v="Wednesday"/>
    <x v="1"/>
    <n v="3"/>
    <n v="30412.97"/>
    <s v="Pooja Dutta"/>
    <n v="43"/>
    <x v="1"/>
    <s v="UPI"/>
    <n v="5"/>
    <s v="Vivo V20"/>
  </r>
  <r>
    <n v="679"/>
    <n v="20"/>
    <n v="4"/>
    <n v="2022"/>
    <s v="Wednesday"/>
    <x v="0"/>
    <n v="5"/>
    <n v="10391.52"/>
    <s v="Priya Mehta"/>
    <n v="53"/>
    <x v="3"/>
    <s v="Credit Card"/>
    <n v="4"/>
    <s v="Redmi 9"/>
  </r>
  <r>
    <n v="680"/>
    <n v="21"/>
    <n v="4"/>
    <n v="2022"/>
    <s v="Thursday"/>
    <x v="3"/>
    <n v="5"/>
    <n v="38771.15"/>
    <s v="Yogesh Mishra"/>
    <n v="59"/>
    <x v="3"/>
    <s v="Cash"/>
    <n v="5"/>
    <s v="Galaxy S21"/>
  </r>
  <r>
    <n v="681"/>
    <n v="21"/>
    <n v="4"/>
    <n v="2022"/>
    <s v="Thursday"/>
    <x v="0"/>
    <n v="5"/>
    <n v="10951.21"/>
    <s v="Mala Goyal"/>
    <n v="52"/>
    <x v="1"/>
    <s v="Credit Card"/>
    <n v="5"/>
    <s v="Redmi Note 10"/>
  </r>
  <r>
    <n v="682"/>
    <n v="21"/>
    <n v="4"/>
    <n v="2022"/>
    <s v="Thursday"/>
    <x v="3"/>
    <n v="8"/>
    <n v="15519.07"/>
    <s v="Vinod Chatterjee"/>
    <n v="55"/>
    <x v="1"/>
    <s v="Cash"/>
    <n v="5"/>
    <s v="Galaxy A51"/>
  </r>
  <r>
    <n v="683"/>
    <n v="22"/>
    <n v="4"/>
    <n v="2022"/>
    <s v="Friday"/>
    <x v="3"/>
    <n v="9"/>
    <n v="29601.34"/>
    <s v="Sunita Luthra"/>
    <n v="20"/>
    <x v="9"/>
    <s v="UPI"/>
    <n v="5"/>
    <s v="Galaxy A51"/>
  </r>
  <r>
    <n v="684"/>
    <n v="22"/>
    <n v="4"/>
    <n v="2022"/>
    <s v="Friday"/>
    <x v="0"/>
    <n v="9"/>
    <n v="36230.32"/>
    <s v="Anand Joshi"/>
    <n v="58"/>
    <x v="14"/>
    <s v="Credit Card"/>
    <n v="5"/>
    <s v="Mi 11"/>
  </r>
  <r>
    <n v="685"/>
    <n v="22"/>
    <n v="4"/>
    <n v="2022"/>
    <s v="Friday"/>
    <x v="1"/>
    <n v="6"/>
    <n v="26768.17"/>
    <s v="Lata Chaudhary"/>
    <n v="52"/>
    <x v="9"/>
    <s v="Cash"/>
    <n v="4"/>
    <s v="Vivo Y51"/>
  </r>
  <r>
    <n v="686"/>
    <n v="22"/>
    <n v="4"/>
    <n v="2022"/>
    <s v="Friday"/>
    <x v="4"/>
    <n v="6"/>
    <n v="44911.92"/>
    <s v="Harish Mehta"/>
    <n v="57"/>
    <x v="7"/>
    <s v="UPI"/>
    <n v="5"/>
    <s v="iPhone 12"/>
  </r>
  <r>
    <n v="687"/>
    <n v="23"/>
    <n v="4"/>
    <n v="2022"/>
    <s v="Saturday"/>
    <x v="4"/>
    <n v="9"/>
    <n v="13320.99"/>
    <s v="Neeta Menon"/>
    <n v="39"/>
    <x v="2"/>
    <s v="Credit Card"/>
    <n v="5"/>
    <s v="iPhone 12"/>
  </r>
  <r>
    <n v="688"/>
    <n v="23"/>
    <n v="4"/>
    <n v="2022"/>
    <s v="Saturday"/>
    <x v="3"/>
    <n v="4"/>
    <n v="18674.78"/>
    <s v="Pankaj Shah"/>
    <n v="25"/>
    <x v="18"/>
    <s v="Credit Card"/>
    <n v="3"/>
    <s v="Galaxy S21"/>
  </r>
  <r>
    <n v="689"/>
    <n v="23"/>
    <n v="4"/>
    <n v="2022"/>
    <s v="Saturday"/>
    <x v="3"/>
    <n v="6"/>
    <n v="51715.5"/>
    <s v="Prashant Deshmukh"/>
    <n v="32"/>
    <x v="1"/>
    <s v="Credit Card"/>
    <n v="5"/>
    <s v="Galaxy A51"/>
  </r>
  <r>
    <n v="690"/>
    <n v="23"/>
    <n v="4"/>
    <n v="2022"/>
    <s v="Saturday"/>
    <x v="1"/>
    <n v="4"/>
    <n v="18528.45"/>
    <s v="Sunita Verma"/>
    <n v="24"/>
    <x v="1"/>
    <s v="Credit Card"/>
    <n v="5"/>
    <s v="Vivo Y51"/>
  </r>
  <r>
    <n v="691"/>
    <n v="24"/>
    <n v="4"/>
    <n v="2022"/>
    <s v="Sunday"/>
    <x v="2"/>
    <n v="1"/>
    <n v="48386.51"/>
    <s v="Gita Teja"/>
    <n v="36"/>
    <x v="7"/>
    <s v="Debit Card"/>
    <n v="5"/>
    <s v="OnePlus 9"/>
  </r>
  <r>
    <n v="692"/>
    <n v="24"/>
    <n v="4"/>
    <n v="2022"/>
    <s v="Sunday"/>
    <x v="0"/>
    <n v="7"/>
    <n v="13281.08"/>
    <s v="Sachin Goyal"/>
    <n v="57"/>
    <x v="13"/>
    <s v="UPI"/>
    <n v="3"/>
    <s v="Mi 11"/>
  </r>
  <r>
    <n v="693"/>
    <n v="24"/>
    <n v="4"/>
    <n v="2022"/>
    <s v="Sunday"/>
    <x v="3"/>
    <n v="6"/>
    <n v="34442.94"/>
    <s v="Bina Goyal"/>
    <n v="59"/>
    <x v="0"/>
    <s v="Debit Card"/>
    <n v="5"/>
    <s v="Galaxy Note 20"/>
  </r>
  <r>
    <n v="694"/>
    <n v="24"/>
    <n v="4"/>
    <n v="2022"/>
    <s v="Sunday"/>
    <x v="4"/>
    <n v="9"/>
    <n v="20644.57"/>
    <s v="Sneha Arora"/>
    <n v="34"/>
    <x v="1"/>
    <s v="UPI"/>
    <n v="5"/>
    <s v="iPhone SE"/>
  </r>
  <r>
    <n v="695"/>
    <n v="25"/>
    <n v="4"/>
    <n v="2022"/>
    <s v="Monday"/>
    <x v="1"/>
    <n v="7"/>
    <n v="16578.18"/>
    <s v="Ravi Reddy"/>
    <n v="18"/>
    <x v="14"/>
    <s v="UPI"/>
    <n v="5"/>
    <s v="Vivo S1"/>
  </r>
  <r>
    <n v="696"/>
    <n v="25"/>
    <n v="4"/>
    <n v="2022"/>
    <s v="Monday"/>
    <x v="0"/>
    <n v="7"/>
    <n v="44021.97"/>
    <s v="Navin Pathak"/>
    <n v="46"/>
    <x v="9"/>
    <s v="UPI"/>
    <n v="4"/>
    <s v="Redmi Note 10"/>
  </r>
  <r>
    <n v="697"/>
    <n v="25"/>
    <n v="4"/>
    <n v="2022"/>
    <s v="Monday"/>
    <x v="1"/>
    <n v="2"/>
    <n v="65700.149999999994"/>
    <s v="Nikhil Jain"/>
    <n v="30"/>
    <x v="2"/>
    <s v="Cash"/>
    <n v="3"/>
    <s v="Vivo V20"/>
  </r>
  <r>
    <n v="698"/>
    <n v="26"/>
    <n v="4"/>
    <n v="2022"/>
    <s v="Tuesday"/>
    <x v="0"/>
    <n v="9"/>
    <n v="13287.22"/>
    <s v="Amit Ghosh"/>
    <n v="46"/>
    <x v="11"/>
    <s v="UPI"/>
    <n v="5"/>
    <s v="Redmi Note 10"/>
  </r>
  <r>
    <n v="699"/>
    <n v="26"/>
    <n v="4"/>
    <n v="2022"/>
    <s v="Tuesday"/>
    <x v="0"/>
    <n v="9"/>
    <n v="35293.25"/>
    <s v="Lalita Rathod"/>
    <n v="58"/>
    <x v="2"/>
    <s v="Credit Card"/>
    <n v="5"/>
    <s v="Redmi Note 10"/>
  </r>
  <r>
    <n v="700"/>
    <n v="26"/>
    <n v="4"/>
    <n v="2022"/>
    <s v="Tuesday"/>
    <x v="3"/>
    <n v="6"/>
    <n v="52452.13"/>
    <s v="Isha Kaur"/>
    <n v="59"/>
    <x v="14"/>
    <s v="Debit Card"/>
    <n v="5"/>
    <s v="Galaxy S21"/>
  </r>
  <r>
    <n v="701"/>
    <n v="27"/>
    <n v="4"/>
    <n v="2022"/>
    <s v="Wednesday"/>
    <x v="1"/>
    <n v="3"/>
    <n v="37761.269999999997"/>
    <s v="Vivek Mishra"/>
    <n v="23"/>
    <x v="1"/>
    <s v="Credit Card"/>
    <n v="5"/>
    <s v="Vivo Y51"/>
  </r>
  <r>
    <n v="702"/>
    <n v="27"/>
    <n v="4"/>
    <n v="2022"/>
    <s v="Wednesday"/>
    <x v="1"/>
    <n v="1"/>
    <n v="58389.760000000002"/>
    <s v="Kavita Desai"/>
    <n v="22"/>
    <x v="12"/>
    <s v="Credit Card"/>
    <n v="5"/>
    <s v="Vivo Y51"/>
  </r>
  <r>
    <n v="703"/>
    <n v="27"/>
    <n v="4"/>
    <n v="2022"/>
    <s v="Wednesday"/>
    <x v="4"/>
    <n v="4"/>
    <n v="20778.72"/>
    <s v="Anjali Pathak"/>
    <n v="51"/>
    <x v="7"/>
    <s v="Debit Card"/>
    <n v="4"/>
    <s v="iPhone SE"/>
  </r>
  <r>
    <n v="704"/>
    <n v="28"/>
    <n v="4"/>
    <n v="2022"/>
    <s v="Thursday"/>
    <x v="4"/>
    <n v="3"/>
    <n v="67575.649999999994"/>
    <s v="Monika Rathod"/>
    <n v="28"/>
    <x v="2"/>
    <s v="Credit Card"/>
    <n v="5"/>
    <s v="iPhone SE"/>
  </r>
  <r>
    <n v="705"/>
    <n v="28"/>
    <n v="4"/>
    <n v="2022"/>
    <s v="Thursday"/>
    <x v="3"/>
    <n v="1"/>
    <n v="33109.760000000002"/>
    <s v="Anita Kulkarni"/>
    <n v="26"/>
    <x v="1"/>
    <s v="Cash"/>
    <n v="5"/>
    <s v="Galaxy Note 20"/>
  </r>
  <r>
    <n v="706"/>
    <n v="28"/>
    <n v="4"/>
    <n v="2022"/>
    <s v="Thursday"/>
    <x v="3"/>
    <n v="3"/>
    <n v="30494.18"/>
    <s v="Namita Patel"/>
    <n v="55"/>
    <x v="2"/>
    <s v="Credit Card"/>
    <n v="5"/>
    <s v="Galaxy A51"/>
  </r>
  <r>
    <n v="707"/>
    <n v="28"/>
    <n v="4"/>
    <n v="2022"/>
    <s v="Thursday"/>
    <x v="2"/>
    <n v="4"/>
    <n v="62476.35"/>
    <s v="Priyanka Goyal"/>
    <n v="57"/>
    <x v="1"/>
    <s v="Credit Card"/>
    <n v="5"/>
    <s v="OnePlus Nord"/>
  </r>
  <r>
    <n v="708"/>
    <n v="29"/>
    <n v="4"/>
    <n v="2022"/>
    <s v="Friday"/>
    <x v="4"/>
    <n v="8"/>
    <n v="43832.02"/>
    <s v="Bina Siddiqui"/>
    <n v="58"/>
    <x v="1"/>
    <s v="Debit Card"/>
    <n v="5"/>
    <s v="iPhone 12"/>
  </r>
  <r>
    <n v="709"/>
    <n v="29"/>
    <n v="4"/>
    <n v="2022"/>
    <s v="Friday"/>
    <x v="0"/>
    <n v="9"/>
    <n v="40986.660000000003"/>
    <s v="Meena Verma"/>
    <n v="26"/>
    <x v="4"/>
    <s v="Credit Card"/>
    <n v="5"/>
    <s v="Redmi 9"/>
  </r>
  <r>
    <n v="710"/>
    <n v="29"/>
    <n v="4"/>
    <n v="2022"/>
    <s v="Friday"/>
    <x v="1"/>
    <n v="3"/>
    <n v="53618.68"/>
    <s v="Aditya Rao"/>
    <n v="25"/>
    <x v="16"/>
    <s v="Debit Card"/>
    <n v="5"/>
    <s v="Vivo S1"/>
  </r>
  <r>
    <n v="711"/>
    <n v="30"/>
    <n v="4"/>
    <n v="2022"/>
    <s v="Saturday"/>
    <x v="3"/>
    <n v="6"/>
    <n v="44790.05"/>
    <s v="Rohan Goyal"/>
    <n v="57"/>
    <x v="2"/>
    <s v="UPI"/>
    <n v="3"/>
    <s v="Galaxy A51"/>
  </r>
  <r>
    <n v="712"/>
    <n v="30"/>
    <n v="4"/>
    <n v="2022"/>
    <s v="Saturday"/>
    <x v="1"/>
    <n v="5"/>
    <n v="19750.939999999999"/>
    <s v="Amit Chatterjee"/>
    <n v="20"/>
    <x v="10"/>
    <s v="UPI"/>
    <n v="5"/>
    <s v="Vivo Y51"/>
  </r>
  <r>
    <n v="713"/>
    <n v="30"/>
    <n v="4"/>
    <n v="2022"/>
    <s v="Saturday"/>
    <x v="1"/>
    <n v="6"/>
    <n v="50451.86"/>
    <s v="Devendra Singh"/>
    <n v="30"/>
    <x v="8"/>
    <s v="Cash"/>
    <n v="5"/>
    <s v="Vivo Y51"/>
  </r>
  <r>
    <n v="714"/>
    <n v="1"/>
    <n v="5"/>
    <n v="2022"/>
    <s v="Sunday"/>
    <x v="2"/>
    <n v="4"/>
    <n v="18008.13"/>
    <s v="Bhavana Malhotra"/>
    <n v="36"/>
    <x v="4"/>
    <s v="Debit Card"/>
    <n v="5"/>
    <s v="OnePlus 9"/>
  </r>
  <r>
    <n v="715"/>
    <n v="1"/>
    <n v="5"/>
    <n v="2022"/>
    <s v="Sunday"/>
    <x v="4"/>
    <n v="6"/>
    <n v="58351.46"/>
    <s v="Lata Shah"/>
    <n v="51"/>
    <x v="13"/>
    <s v="Debit Card"/>
    <n v="4"/>
    <s v="iPhone SE"/>
  </r>
  <r>
    <n v="716"/>
    <n v="1"/>
    <n v="5"/>
    <n v="2022"/>
    <s v="Sunday"/>
    <x v="3"/>
    <n v="7"/>
    <n v="69384.2"/>
    <s v="Vijay Malhotra"/>
    <n v="49"/>
    <x v="2"/>
    <s v="Debit Card"/>
    <n v="5"/>
    <s v="Galaxy Note 20"/>
  </r>
  <r>
    <n v="717"/>
    <n v="1"/>
    <n v="5"/>
    <n v="2022"/>
    <s v="Sunday"/>
    <x v="1"/>
    <n v="9"/>
    <n v="32643.26"/>
    <s v="Tapan Luthra"/>
    <n v="33"/>
    <x v="1"/>
    <s v="Cash"/>
    <n v="5"/>
    <s v="Vivo V20"/>
  </r>
  <r>
    <n v="718"/>
    <n v="2"/>
    <n v="5"/>
    <n v="2022"/>
    <s v="Monday"/>
    <x v="3"/>
    <n v="7"/>
    <n v="36685.35"/>
    <s v="Vivek Alva"/>
    <n v="53"/>
    <x v="1"/>
    <s v="Cash"/>
    <n v="4"/>
    <s v="Galaxy A51"/>
  </r>
  <r>
    <n v="719"/>
    <n v="2"/>
    <n v="5"/>
    <n v="2022"/>
    <s v="Monday"/>
    <x v="0"/>
    <n v="6"/>
    <n v="12786.02"/>
    <s v="Manoj Luthra"/>
    <n v="35"/>
    <x v="10"/>
    <s v="Credit Card"/>
    <n v="5"/>
    <s v="Redmi Note 10"/>
  </r>
  <r>
    <n v="720"/>
    <n v="2"/>
    <n v="5"/>
    <n v="2022"/>
    <s v="Monday"/>
    <x v="2"/>
    <n v="1"/>
    <n v="10823.99"/>
    <s v="Sachin Jain"/>
    <n v="31"/>
    <x v="13"/>
    <s v="Debit Card"/>
    <n v="5"/>
    <s v="OnePlus 9"/>
  </r>
  <r>
    <n v="721"/>
    <n v="3"/>
    <n v="5"/>
    <n v="2022"/>
    <s v="Tuesday"/>
    <x v="0"/>
    <n v="2"/>
    <n v="65285.16"/>
    <s v="Sumit Joshi"/>
    <n v="47"/>
    <x v="10"/>
    <s v="Cash"/>
    <n v="5"/>
    <s v="Redmi 9"/>
  </r>
  <r>
    <n v="722"/>
    <n v="3"/>
    <n v="5"/>
    <n v="2022"/>
    <s v="Tuesday"/>
    <x v="3"/>
    <n v="1"/>
    <n v="17717.439999999999"/>
    <s v="Bhavana Varma"/>
    <n v="19"/>
    <x v="1"/>
    <s v="UPI"/>
    <n v="4"/>
    <s v="Galaxy Note 20"/>
  </r>
  <r>
    <n v="723"/>
    <n v="3"/>
    <n v="5"/>
    <n v="2022"/>
    <s v="Tuesday"/>
    <x v="3"/>
    <n v="9"/>
    <n v="36746.720000000001"/>
    <s v="Jyoti Alva"/>
    <n v="30"/>
    <x v="16"/>
    <s v="UPI"/>
    <n v="5"/>
    <s v="Galaxy A51"/>
  </r>
  <r>
    <n v="724"/>
    <n v="3"/>
    <n v="5"/>
    <n v="2022"/>
    <s v="Tuesday"/>
    <x v="4"/>
    <n v="9"/>
    <n v="58921.279999999999"/>
    <s v="Amit Ghosh"/>
    <n v="44"/>
    <x v="6"/>
    <s v="Debit Card"/>
    <n v="5"/>
    <s v="iPhone SE"/>
  </r>
  <r>
    <n v="725"/>
    <n v="4"/>
    <n v="5"/>
    <n v="2022"/>
    <s v="Wednesday"/>
    <x v="1"/>
    <n v="7"/>
    <n v="63359.13"/>
    <s v="Arun Sheth"/>
    <n v="34"/>
    <x v="3"/>
    <s v="UPI"/>
    <n v="5"/>
    <s v="Vivo S1"/>
  </r>
  <r>
    <n v="726"/>
    <n v="4"/>
    <n v="5"/>
    <n v="2022"/>
    <s v="Wednesday"/>
    <x v="1"/>
    <n v="2"/>
    <n v="41163.86"/>
    <s v="Meena Malhotra"/>
    <n v="48"/>
    <x v="1"/>
    <s v="Credit Card"/>
    <n v="4"/>
    <s v="Vivo Y51"/>
  </r>
  <r>
    <n v="727"/>
    <n v="4"/>
    <n v="5"/>
    <n v="2022"/>
    <s v="Wednesday"/>
    <x v="0"/>
    <n v="6"/>
    <n v="43901.95"/>
    <s v="Pankaj Shah"/>
    <n v="32"/>
    <x v="8"/>
    <s v="Credit Card"/>
    <n v="4"/>
    <s v="Redmi 9"/>
  </r>
  <r>
    <n v="728"/>
    <n v="4"/>
    <n v="5"/>
    <n v="2022"/>
    <s v="Wednesday"/>
    <x v="2"/>
    <n v="4"/>
    <n v="50181.04"/>
    <s v="Ravi Varma"/>
    <n v="37"/>
    <x v="7"/>
    <s v="Debit Card"/>
    <n v="5"/>
    <s v="OnePlus 8T"/>
  </r>
  <r>
    <n v="729"/>
    <n v="5"/>
    <n v="5"/>
    <n v="2022"/>
    <s v="Thursday"/>
    <x v="1"/>
    <n v="1"/>
    <n v="67682.95"/>
    <s v="Tanuja Reddy"/>
    <n v="22"/>
    <x v="1"/>
    <s v="Cash"/>
    <n v="4"/>
    <s v="Vivo V20"/>
  </r>
  <r>
    <n v="730"/>
    <n v="5"/>
    <n v="5"/>
    <n v="2022"/>
    <s v="Thursday"/>
    <x v="4"/>
    <n v="1"/>
    <n v="46160.2"/>
    <s v="Sunita Mehta"/>
    <n v="24"/>
    <x v="1"/>
    <s v="Cash"/>
    <n v="5"/>
    <s v="iPhone 11"/>
  </r>
  <r>
    <n v="731"/>
    <n v="5"/>
    <n v="5"/>
    <n v="2022"/>
    <s v="Thursday"/>
    <x v="0"/>
    <n v="5"/>
    <n v="43568.52"/>
    <s v="Lalita Patel"/>
    <n v="35"/>
    <x v="7"/>
    <s v="Cash"/>
    <n v="4"/>
    <s v="Redmi Note 10"/>
  </r>
  <r>
    <n v="732"/>
    <n v="5"/>
    <n v="5"/>
    <n v="2022"/>
    <s v="Thursday"/>
    <x v="0"/>
    <n v="2"/>
    <n v="10872.05"/>
    <s v="Anjali Thakur"/>
    <n v="28"/>
    <x v="1"/>
    <s v="Cash"/>
    <n v="3"/>
    <s v="Redmi Note 10"/>
  </r>
  <r>
    <n v="733"/>
    <n v="6"/>
    <n v="5"/>
    <n v="2022"/>
    <s v="Friday"/>
    <x v="4"/>
    <n v="4"/>
    <n v="14856.98"/>
    <s v="Yogesh Malhotra"/>
    <n v="49"/>
    <x v="1"/>
    <s v="Debit Card"/>
    <n v="5"/>
    <s v="iPhone SE"/>
  </r>
  <r>
    <n v="734"/>
    <n v="6"/>
    <n v="5"/>
    <n v="2022"/>
    <s v="Friday"/>
    <x v="2"/>
    <n v="1"/>
    <n v="44630.3"/>
    <s v="Deepika Malhotra"/>
    <n v="44"/>
    <x v="13"/>
    <s v="Credit Card"/>
    <n v="5"/>
    <s v="OnePlus 8T"/>
  </r>
  <r>
    <n v="735"/>
    <n v="6"/>
    <n v="5"/>
    <n v="2022"/>
    <s v="Friday"/>
    <x v="4"/>
    <n v="4"/>
    <n v="66174.42"/>
    <s v="Sunil Varma"/>
    <n v="43"/>
    <x v="1"/>
    <s v="Debit Card"/>
    <n v="5"/>
    <s v="iPhone 12"/>
  </r>
  <r>
    <n v="736"/>
    <n v="7"/>
    <n v="5"/>
    <n v="2022"/>
    <s v="Saturday"/>
    <x v="2"/>
    <n v="6"/>
    <n v="62001.48"/>
    <s v="Jyoti Iyer"/>
    <n v="54"/>
    <x v="2"/>
    <s v="Debit Card"/>
    <n v="5"/>
    <s v="OnePlus 9"/>
  </r>
  <r>
    <n v="737"/>
    <n v="7"/>
    <n v="5"/>
    <n v="2022"/>
    <s v="Saturday"/>
    <x v="4"/>
    <n v="4"/>
    <n v="68954.740000000005"/>
    <s v="Sneha Patel"/>
    <n v="45"/>
    <x v="1"/>
    <s v="UPI"/>
    <n v="3"/>
    <s v="iPhone 11"/>
  </r>
  <r>
    <n v="738"/>
    <n v="7"/>
    <n v="5"/>
    <n v="2022"/>
    <s v="Saturday"/>
    <x v="4"/>
    <n v="1"/>
    <n v="41670.04"/>
    <s v="Yogesh Roy"/>
    <n v="19"/>
    <x v="3"/>
    <s v="Credit Card"/>
    <n v="5"/>
    <s v="iPhone 11"/>
  </r>
  <r>
    <n v="739"/>
    <n v="8"/>
    <n v="5"/>
    <n v="2022"/>
    <s v="Sunday"/>
    <x v="3"/>
    <n v="7"/>
    <n v="57275.86"/>
    <s v="Kavita Siddiqui"/>
    <n v="37"/>
    <x v="1"/>
    <s v="Cash"/>
    <n v="5"/>
    <s v="Galaxy S21"/>
  </r>
  <r>
    <n v="740"/>
    <n v="8"/>
    <n v="5"/>
    <n v="2022"/>
    <s v="Sunday"/>
    <x v="0"/>
    <n v="2"/>
    <n v="60424.02"/>
    <s v="Pooja Arora"/>
    <n v="21"/>
    <x v="1"/>
    <s v="Credit Card"/>
    <n v="5"/>
    <s v="Redmi Note 10"/>
  </r>
  <r>
    <n v="741"/>
    <n v="8"/>
    <n v="5"/>
    <n v="2022"/>
    <s v="Sunday"/>
    <x v="4"/>
    <n v="9"/>
    <n v="48881.9"/>
    <s v="Arun Ghosh"/>
    <n v="30"/>
    <x v="14"/>
    <s v="UPI"/>
    <n v="5"/>
    <s v="iPhone 11"/>
  </r>
  <r>
    <n v="742"/>
    <n v="9"/>
    <n v="5"/>
    <n v="2022"/>
    <s v="Monday"/>
    <x v="4"/>
    <n v="3"/>
    <n v="30324.99"/>
    <s v="Aditya Luthra"/>
    <n v="41"/>
    <x v="18"/>
    <s v="Debit Card"/>
    <n v="5"/>
    <s v="iPhone 11"/>
  </r>
  <r>
    <n v="743"/>
    <n v="9"/>
    <n v="5"/>
    <n v="2022"/>
    <s v="Monday"/>
    <x v="1"/>
    <n v="8"/>
    <n v="38198.71"/>
    <s v="Navin Chaudhary"/>
    <n v="55"/>
    <x v="18"/>
    <s v="Credit Card"/>
    <n v="4"/>
    <s v="Vivo V20"/>
  </r>
  <r>
    <n v="744"/>
    <n v="9"/>
    <n v="5"/>
    <n v="2022"/>
    <s v="Monday"/>
    <x v="0"/>
    <n v="8"/>
    <n v="61475.02"/>
    <s v="Kunal Deshmukh"/>
    <n v="57"/>
    <x v="1"/>
    <s v="UPI"/>
    <n v="5"/>
    <s v="Redmi 9"/>
  </r>
  <r>
    <n v="745"/>
    <n v="10"/>
    <n v="5"/>
    <n v="2022"/>
    <s v="Tuesday"/>
    <x v="1"/>
    <n v="3"/>
    <n v="27912.880000000001"/>
    <s v="Pankaj Srivastava"/>
    <n v="46"/>
    <x v="2"/>
    <s v="Debit Card"/>
    <n v="5"/>
    <s v="Vivo Y51"/>
  </r>
  <r>
    <n v="746"/>
    <n v="10"/>
    <n v="5"/>
    <n v="2022"/>
    <s v="Tuesday"/>
    <x v="0"/>
    <n v="4"/>
    <n v="65424.59"/>
    <s v="Krishna Pillai"/>
    <n v="53"/>
    <x v="1"/>
    <s v="Cash"/>
    <n v="3"/>
    <s v="Redmi Note 10"/>
  </r>
  <r>
    <n v="747"/>
    <n v="10"/>
    <n v="5"/>
    <n v="2022"/>
    <s v="Tuesday"/>
    <x v="1"/>
    <n v="2"/>
    <n v="23788.38"/>
    <s v="Mala Mathur"/>
    <n v="19"/>
    <x v="1"/>
    <s v="Credit Card"/>
    <n v="5"/>
    <s v="Vivo V20"/>
  </r>
  <r>
    <n v="748"/>
    <n v="11"/>
    <n v="5"/>
    <n v="2022"/>
    <s v="Wednesday"/>
    <x v="4"/>
    <n v="4"/>
    <n v="54970.98"/>
    <s v="Navin Kapoor"/>
    <n v="58"/>
    <x v="1"/>
    <s v="Cash"/>
    <n v="4"/>
    <s v="iPhone SE"/>
  </r>
  <r>
    <n v="749"/>
    <n v="11"/>
    <n v="5"/>
    <n v="2022"/>
    <s v="Wednesday"/>
    <x v="4"/>
    <n v="9"/>
    <n v="47833.55"/>
    <s v="Neeta Ghosh"/>
    <n v="35"/>
    <x v="2"/>
    <s v="Cash"/>
    <n v="4"/>
    <s v="iPhone 11"/>
  </r>
  <r>
    <n v="750"/>
    <n v="11"/>
    <n v="5"/>
    <n v="2022"/>
    <s v="Wednesday"/>
    <x v="3"/>
    <n v="2"/>
    <n v="54975.97"/>
    <s v="Manoj Kulkarni"/>
    <n v="25"/>
    <x v="1"/>
    <s v="UPI"/>
    <n v="5"/>
    <s v="Galaxy S21"/>
  </r>
  <r>
    <n v="751"/>
    <n v="12"/>
    <n v="5"/>
    <n v="2022"/>
    <s v="Thursday"/>
    <x v="1"/>
    <n v="3"/>
    <n v="36240.85"/>
    <s v="Ravi Ghosh"/>
    <n v="32"/>
    <x v="2"/>
    <s v="UPI"/>
    <n v="5"/>
    <s v="Vivo S1"/>
  </r>
  <r>
    <n v="752"/>
    <n v="12"/>
    <n v="5"/>
    <n v="2022"/>
    <s v="Thursday"/>
    <x v="2"/>
    <n v="4"/>
    <n v="65958.460000000006"/>
    <s v="Kiran Siddiqui"/>
    <n v="58"/>
    <x v="12"/>
    <s v="Debit Card"/>
    <n v="5"/>
    <s v="OnePlus 8T"/>
  </r>
  <r>
    <n v="753"/>
    <n v="12"/>
    <n v="5"/>
    <n v="2022"/>
    <s v="Thursday"/>
    <x v="3"/>
    <n v="5"/>
    <n v="47948.33"/>
    <s v="Mala Verma"/>
    <n v="34"/>
    <x v="5"/>
    <s v="Cash"/>
    <n v="4"/>
    <s v="Galaxy A51"/>
  </r>
  <r>
    <n v="754"/>
    <n v="13"/>
    <n v="5"/>
    <n v="2022"/>
    <s v="Friday"/>
    <x v="1"/>
    <n v="1"/>
    <n v="27297.75"/>
    <s v="Jyoti Ahuja"/>
    <n v="40"/>
    <x v="1"/>
    <s v="UPI"/>
    <n v="4"/>
    <s v="Vivo V20"/>
  </r>
  <r>
    <n v="755"/>
    <n v="13"/>
    <n v="5"/>
    <n v="2022"/>
    <s v="Friday"/>
    <x v="1"/>
    <n v="7"/>
    <n v="48307.3"/>
    <s v="Umesh Kaur"/>
    <n v="19"/>
    <x v="2"/>
    <s v="UPI"/>
    <n v="3"/>
    <s v="Vivo S1"/>
  </r>
  <r>
    <n v="756"/>
    <n v="13"/>
    <n v="5"/>
    <n v="2022"/>
    <s v="Friday"/>
    <x v="3"/>
    <n v="7"/>
    <n v="27208.94"/>
    <s v="Nikhil Varma"/>
    <n v="23"/>
    <x v="13"/>
    <s v="Cash"/>
    <n v="3"/>
    <s v="Galaxy S21"/>
  </r>
  <r>
    <n v="757"/>
    <n v="13"/>
    <n v="5"/>
    <n v="2022"/>
    <s v="Friday"/>
    <x v="4"/>
    <n v="9"/>
    <n v="27617.94"/>
    <s v="Namita Mehta"/>
    <n v="46"/>
    <x v="11"/>
    <s v="Debit Card"/>
    <n v="4"/>
    <s v="iPhone 12"/>
  </r>
  <r>
    <n v="758"/>
    <n v="14"/>
    <n v="5"/>
    <n v="2022"/>
    <s v="Saturday"/>
    <x v="1"/>
    <n v="4"/>
    <n v="33975.910000000003"/>
    <s v="Isha Dutta"/>
    <n v="44"/>
    <x v="6"/>
    <s v="Cash"/>
    <n v="3"/>
    <s v="Vivo S1"/>
  </r>
  <r>
    <n v="759"/>
    <n v="14"/>
    <n v="5"/>
    <n v="2022"/>
    <s v="Saturday"/>
    <x v="4"/>
    <n v="6"/>
    <n v="61145.83"/>
    <s v="Vinod Arora"/>
    <n v="54"/>
    <x v="5"/>
    <s v="Debit Card"/>
    <n v="3"/>
    <s v="iPhone SE"/>
  </r>
  <r>
    <n v="760"/>
    <n v="14"/>
    <n v="5"/>
    <n v="2022"/>
    <s v="Saturday"/>
    <x v="3"/>
    <n v="2"/>
    <n v="40017.870000000003"/>
    <s v="Meena Mathur"/>
    <n v="51"/>
    <x v="2"/>
    <s v="Debit Card"/>
    <n v="3"/>
    <s v="Galaxy S21"/>
  </r>
  <r>
    <n v="761"/>
    <n v="15"/>
    <n v="5"/>
    <n v="2022"/>
    <s v="Sunday"/>
    <x v="4"/>
    <n v="4"/>
    <n v="50734.05"/>
    <s v="Sunil Kumar"/>
    <n v="35"/>
    <x v="6"/>
    <s v="UPI"/>
    <n v="4"/>
    <s v="iPhone SE"/>
  </r>
  <r>
    <n v="762"/>
    <n v="15"/>
    <n v="5"/>
    <n v="2022"/>
    <s v="Sunday"/>
    <x v="0"/>
    <n v="2"/>
    <n v="33518.06"/>
    <s v="Rohan Singh"/>
    <n v="59"/>
    <x v="1"/>
    <s v="Cash"/>
    <n v="5"/>
    <s v="Mi 11"/>
  </r>
  <r>
    <n v="763"/>
    <n v="15"/>
    <n v="5"/>
    <n v="2022"/>
    <s v="Sunday"/>
    <x v="2"/>
    <n v="5"/>
    <n v="25816.33"/>
    <s v="Anand Kapoor"/>
    <n v="27"/>
    <x v="5"/>
    <s v="Cash"/>
    <n v="5"/>
    <s v="OnePlus 8T"/>
  </r>
  <r>
    <n v="764"/>
    <n v="15"/>
    <n v="5"/>
    <n v="2022"/>
    <s v="Sunday"/>
    <x v="1"/>
    <n v="7"/>
    <n v="67278.41"/>
    <s v="Mala Ghosh"/>
    <n v="55"/>
    <x v="11"/>
    <s v="UPI"/>
    <n v="5"/>
    <s v="Vivo S1"/>
  </r>
  <r>
    <n v="765"/>
    <n v="16"/>
    <n v="5"/>
    <n v="2022"/>
    <s v="Monday"/>
    <x v="2"/>
    <n v="1"/>
    <n v="46214.87"/>
    <s v="Priya Kaur"/>
    <n v="34"/>
    <x v="2"/>
    <s v="Credit Card"/>
    <n v="3"/>
    <s v="OnePlus Nord"/>
  </r>
  <r>
    <n v="766"/>
    <n v="16"/>
    <n v="5"/>
    <n v="2022"/>
    <s v="Monday"/>
    <x v="4"/>
    <n v="7"/>
    <n v="66037.08"/>
    <s v="Meena Joshi"/>
    <n v="30"/>
    <x v="2"/>
    <s v="Credit Card"/>
    <n v="5"/>
    <s v="iPhone 11"/>
  </r>
  <r>
    <n v="767"/>
    <n v="16"/>
    <n v="5"/>
    <n v="2022"/>
    <s v="Monday"/>
    <x v="1"/>
    <n v="6"/>
    <n v="22204.78"/>
    <s v="Sachin Joshi"/>
    <n v="59"/>
    <x v="6"/>
    <s v="Cash"/>
    <n v="5"/>
    <s v="Vivo V20"/>
  </r>
  <r>
    <n v="768"/>
    <n v="17"/>
    <n v="5"/>
    <n v="2022"/>
    <s v="Tuesday"/>
    <x v="4"/>
    <n v="6"/>
    <n v="18813.650000000001"/>
    <s v="Arun Dutta"/>
    <n v="44"/>
    <x v="18"/>
    <s v="UPI"/>
    <n v="5"/>
    <s v="iPhone 12"/>
  </r>
  <r>
    <n v="769"/>
    <n v="17"/>
    <n v="5"/>
    <n v="2022"/>
    <s v="Tuesday"/>
    <x v="0"/>
    <n v="8"/>
    <n v="61349.37"/>
    <s v="Sunita Nair"/>
    <n v="19"/>
    <x v="6"/>
    <s v="Debit Card"/>
    <n v="3"/>
    <s v="Mi 11"/>
  </r>
  <r>
    <n v="770"/>
    <n v="17"/>
    <n v="5"/>
    <n v="2022"/>
    <s v="Tuesday"/>
    <x v="3"/>
    <n v="8"/>
    <n v="50855.03"/>
    <s v="Rajesh Kaur"/>
    <n v="51"/>
    <x v="17"/>
    <s v="Debit Card"/>
    <n v="5"/>
    <s v="Galaxy S21"/>
  </r>
  <r>
    <n v="771"/>
    <n v="18"/>
    <n v="5"/>
    <n v="2022"/>
    <s v="Wednesday"/>
    <x v="1"/>
    <n v="6"/>
    <n v="21194.71"/>
    <s v="Anand Kaur"/>
    <n v="48"/>
    <x v="9"/>
    <s v="Cash"/>
    <n v="5"/>
    <s v="Vivo S1"/>
  </r>
  <r>
    <n v="772"/>
    <n v="18"/>
    <n v="5"/>
    <n v="2022"/>
    <s v="Wednesday"/>
    <x v="0"/>
    <n v="3"/>
    <n v="26161.58"/>
    <s v="Kunal Yadav"/>
    <n v="40"/>
    <x v="2"/>
    <s v="UPI"/>
    <n v="5"/>
    <s v="Redmi 9"/>
  </r>
  <r>
    <n v="773"/>
    <n v="18"/>
    <n v="5"/>
    <n v="2022"/>
    <s v="Wednesday"/>
    <x v="0"/>
    <n v="5"/>
    <n v="58039.839999999997"/>
    <s v="Rohan Sheth"/>
    <n v="24"/>
    <x v="1"/>
    <s v="Cash"/>
    <n v="5"/>
    <s v="Mi 11"/>
  </r>
  <r>
    <n v="774"/>
    <n v="19"/>
    <n v="5"/>
    <n v="2022"/>
    <s v="Thursday"/>
    <x v="1"/>
    <n v="2"/>
    <n v="37232.120000000003"/>
    <s v="Vivek Bhattacharya"/>
    <n v="55"/>
    <x v="12"/>
    <s v="Cash"/>
    <n v="5"/>
    <s v="Vivo Y51"/>
  </r>
  <r>
    <n v="775"/>
    <n v="19"/>
    <n v="5"/>
    <n v="2022"/>
    <s v="Thursday"/>
    <x v="4"/>
    <n v="5"/>
    <n v="50232.43"/>
    <s v="Ravi Gupta"/>
    <n v="50"/>
    <x v="1"/>
    <s v="UPI"/>
    <n v="3"/>
    <s v="iPhone 11"/>
  </r>
  <r>
    <n v="776"/>
    <n v="19"/>
    <n v="5"/>
    <n v="2022"/>
    <s v="Thursday"/>
    <x v="0"/>
    <n v="9"/>
    <n v="29101.119999999999"/>
    <s v="Ravi Bhattacharya"/>
    <n v="29"/>
    <x v="1"/>
    <s v="Cash"/>
    <n v="5"/>
    <s v="Mi 11"/>
  </r>
  <r>
    <n v="777"/>
    <n v="19"/>
    <n v="5"/>
    <n v="2022"/>
    <s v="Thursday"/>
    <x v="2"/>
    <n v="1"/>
    <n v="32873.800000000003"/>
    <s v="Deepika Shah"/>
    <n v="29"/>
    <x v="10"/>
    <s v="Debit Card"/>
    <n v="4"/>
    <s v="OnePlus 9"/>
  </r>
  <r>
    <n v="778"/>
    <n v="20"/>
    <n v="5"/>
    <n v="2022"/>
    <s v="Friday"/>
    <x v="0"/>
    <n v="5"/>
    <n v="69442.75"/>
    <s v="Shruti Shah"/>
    <n v="36"/>
    <x v="2"/>
    <s v="Credit Card"/>
    <n v="3"/>
    <s v="Redmi Note 10"/>
  </r>
  <r>
    <n v="779"/>
    <n v="20"/>
    <n v="5"/>
    <n v="2022"/>
    <s v="Friday"/>
    <x v="4"/>
    <n v="6"/>
    <n v="24857.03"/>
    <s v="Namita Mehta"/>
    <n v="26"/>
    <x v="1"/>
    <s v="Debit Card"/>
    <n v="4"/>
    <s v="iPhone 12"/>
  </r>
  <r>
    <n v="780"/>
    <n v="20"/>
    <n v="5"/>
    <n v="2022"/>
    <s v="Friday"/>
    <x v="4"/>
    <n v="7"/>
    <n v="40387.379999999997"/>
    <s v="Radha Pathak"/>
    <n v="27"/>
    <x v="11"/>
    <s v="Credit Card"/>
    <n v="5"/>
    <s v="iPhone SE"/>
  </r>
  <r>
    <n v="781"/>
    <n v="20"/>
    <n v="5"/>
    <n v="2022"/>
    <s v="Friday"/>
    <x v="2"/>
    <n v="9"/>
    <n v="60664.14"/>
    <s v="Arun Chaudhary"/>
    <n v="34"/>
    <x v="1"/>
    <s v="UPI"/>
    <n v="5"/>
    <s v="OnePlus Nord"/>
  </r>
  <r>
    <n v="782"/>
    <n v="21"/>
    <n v="5"/>
    <n v="2022"/>
    <s v="Saturday"/>
    <x v="0"/>
    <n v="6"/>
    <n v="24353.39"/>
    <s v="Arun Goyal"/>
    <n v="57"/>
    <x v="1"/>
    <s v="Cash"/>
    <n v="3"/>
    <s v="Mi 11"/>
  </r>
  <r>
    <n v="783"/>
    <n v="21"/>
    <n v="5"/>
    <n v="2022"/>
    <s v="Saturday"/>
    <x v="4"/>
    <n v="5"/>
    <n v="34912.83"/>
    <s v="Umesh Srivastava"/>
    <n v="56"/>
    <x v="16"/>
    <s v="Credit Card"/>
    <n v="3"/>
    <s v="iPhone 11"/>
  </r>
  <r>
    <n v="784"/>
    <n v="21"/>
    <n v="5"/>
    <n v="2022"/>
    <s v="Saturday"/>
    <x v="1"/>
    <n v="7"/>
    <n v="46905.48"/>
    <s v="Deepika Patel"/>
    <n v="58"/>
    <x v="8"/>
    <s v="UPI"/>
    <n v="5"/>
    <s v="Vivo V20"/>
  </r>
  <r>
    <n v="785"/>
    <n v="21"/>
    <n v="5"/>
    <n v="2022"/>
    <s v="Saturday"/>
    <x v="3"/>
    <n v="1"/>
    <n v="38871.29"/>
    <s v="Amit Prasad"/>
    <n v="27"/>
    <x v="2"/>
    <s v="UPI"/>
    <n v="2"/>
    <s v="Galaxy S21"/>
  </r>
  <r>
    <n v="786"/>
    <n v="22"/>
    <n v="5"/>
    <n v="2022"/>
    <s v="Sunday"/>
    <x v="3"/>
    <n v="5"/>
    <n v="37570.14"/>
    <s v="Yogesh Sharma"/>
    <n v="29"/>
    <x v="1"/>
    <s v="UPI"/>
    <n v="5"/>
    <s v="Galaxy S21"/>
  </r>
  <r>
    <n v="787"/>
    <n v="22"/>
    <n v="5"/>
    <n v="2022"/>
    <s v="Sunday"/>
    <x v="3"/>
    <n v="2"/>
    <n v="31750.58"/>
    <s v="Monika Deshmukh"/>
    <n v="32"/>
    <x v="1"/>
    <s v="Debit Card"/>
    <n v="5"/>
    <s v="Galaxy Note 20"/>
  </r>
  <r>
    <n v="788"/>
    <n v="22"/>
    <n v="5"/>
    <n v="2022"/>
    <s v="Sunday"/>
    <x v="0"/>
    <n v="4"/>
    <n v="45198.78"/>
    <s v="Tanuja Dutta"/>
    <n v="48"/>
    <x v="11"/>
    <s v="Debit Card"/>
    <n v="3"/>
    <s v="Redmi Note 10"/>
  </r>
  <r>
    <n v="789"/>
    <n v="22"/>
    <n v="5"/>
    <n v="2022"/>
    <s v="Sunday"/>
    <x v="2"/>
    <n v="7"/>
    <n v="47462.36"/>
    <s v="Sunil Patel"/>
    <n v="32"/>
    <x v="16"/>
    <s v="Credit Card"/>
    <n v="2"/>
    <s v="OnePlus 8T"/>
  </r>
  <r>
    <n v="790"/>
    <n v="23"/>
    <n v="5"/>
    <n v="2022"/>
    <s v="Monday"/>
    <x v="4"/>
    <n v="5"/>
    <n v="49197.37"/>
    <s v="Amit Sheth"/>
    <n v="45"/>
    <x v="2"/>
    <s v="Credit Card"/>
    <n v="3"/>
    <s v="iPhone 11"/>
  </r>
  <r>
    <n v="791"/>
    <n v="23"/>
    <n v="5"/>
    <n v="2022"/>
    <s v="Monday"/>
    <x v="1"/>
    <n v="6"/>
    <n v="14222.09"/>
    <s v="Vivek Luthra"/>
    <n v="21"/>
    <x v="2"/>
    <s v="Debit Card"/>
    <n v="4"/>
    <s v="Vivo S1"/>
  </r>
  <r>
    <n v="792"/>
    <n v="23"/>
    <n v="5"/>
    <n v="2022"/>
    <s v="Monday"/>
    <x v="1"/>
    <n v="2"/>
    <n v="47862.05"/>
    <s v="Radha Alva"/>
    <n v="53"/>
    <x v="3"/>
    <s v="Credit Card"/>
    <n v="3"/>
    <s v="Vivo S1"/>
  </r>
  <r>
    <n v="793"/>
    <n v="24"/>
    <n v="5"/>
    <n v="2022"/>
    <s v="Tuesday"/>
    <x v="0"/>
    <n v="3"/>
    <n v="67194.23"/>
    <s v="Radha Alva"/>
    <n v="18"/>
    <x v="9"/>
    <s v="Credit Card"/>
    <n v="5"/>
    <s v="Mi 11"/>
  </r>
  <r>
    <n v="794"/>
    <n v="24"/>
    <n v="5"/>
    <n v="2022"/>
    <s v="Tuesday"/>
    <x v="3"/>
    <n v="7"/>
    <n v="42459.17"/>
    <s v="Tapan Rawat"/>
    <n v="51"/>
    <x v="2"/>
    <s v="Cash"/>
    <n v="5"/>
    <s v="Galaxy S21"/>
  </r>
  <r>
    <n v="795"/>
    <n v="24"/>
    <n v="5"/>
    <n v="2022"/>
    <s v="Tuesday"/>
    <x v="0"/>
    <n v="2"/>
    <n v="52916.02"/>
    <s v="Sumit Roy"/>
    <n v="34"/>
    <x v="0"/>
    <s v="Credit Card"/>
    <n v="3"/>
    <s v="Mi 11"/>
  </r>
  <r>
    <n v="796"/>
    <n v="24"/>
    <n v="5"/>
    <n v="2022"/>
    <s v="Tuesday"/>
    <x v="2"/>
    <n v="6"/>
    <n v="43403.94"/>
    <s v="Sachin Shah"/>
    <n v="56"/>
    <x v="1"/>
    <s v="UPI"/>
    <n v="4"/>
    <s v="OnePlus 8T"/>
  </r>
  <r>
    <n v="797"/>
    <n v="25"/>
    <n v="5"/>
    <n v="2022"/>
    <s v="Wednesday"/>
    <x v="2"/>
    <n v="5"/>
    <n v="61284.44"/>
    <s v="Sunil Jain"/>
    <n v="55"/>
    <x v="2"/>
    <s v="Cash"/>
    <n v="4"/>
    <s v="OnePlus 8T"/>
  </r>
  <r>
    <n v="798"/>
    <n v="25"/>
    <n v="5"/>
    <n v="2022"/>
    <s v="Wednesday"/>
    <x v="4"/>
    <n v="1"/>
    <n v="65774.990000000005"/>
    <s v="Bina Mishra"/>
    <n v="50"/>
    <x v="0"/>
    <s v="Credit Card"/>
    <n v="5"/>
    <s v="iPhone 11"/>
  </r>
  <r>
    <n v="799"/>
    <n v="25"/>
    <n v="5"/>
    <n v="2022"/>
    <s v="Wednesday"/>
    <x v="4"/>
    <n v="4"/>
    <n v="21053.19"/>
    <s v="Arun Yadav"/>
    <n v="38"/>
    <x v="16"/>
    <s v="Cash"/>
    <n v="4"/>
    <s v="iPhone SE"/>
  </r>
  <r>
    <n v="800"/>
    <n v="26"/>
    <n v="5"/>
    <n v="2022"/>
    <s v="Thursday"/>
    <x v="2"/>
    <n v="2"/>
    <n v="36211.599999999999"/>
    <s v="Jyoti Bhattacharya"/>
    <n v="43"/>
    <x v="1"/>
    <s v="UPI"/>
    <n v="5"/>
    <s v="OnePlus Nord"/>
  </r>
  <r>
    <n v="801"/>
    <n v="26"/>
    <n v="5"/>
    <n v="2022"/>
    <s v="Thursday"/>
    <x v="2"/>
    <n v="4"/>
    <n v="33542.93"/>
    <s v="Sunita Teja"/>
    <n v="53"/>
    <x v="7"/>
    <s v="Credit Card"/>
    <n v="5"/>
    <s v="OnePlus 8T"/>
  </r>
  <r>
    <n v="802"/>
    <n v="26"/>
    <n v="5"/>
    <n v="2022"/>
    <s v="Thursday"/>
    <x v="2"/>
    <n v="1"/>
    <n v="34312.910000000003"/>
    <s v="Kiran Siddiqui"/>
    <n v="22"/>
    <x v="12"/>
    <s v="Cash"/>
    <n v="5"/>
    <s v="OnePlus Nord"/>
  </r>
  <r>
    <n v="803"/>
    <n v="27"/>
    <n v="5"/>
    <n v="2022"/>
    <s v="Friday"/>
    <x v="0"/>
    <n v="2"/>
    <n v="17531.45"/>
    <s v="Meena Yadav"/>
    <n v="50"/>
    <x v="18"/>
    <s v="Credit Card"/>
    <n v="2"/>
    <s v="Redmi 9"/>
  </r>
  <r>
    <n v="804"/>
    <n v="27"/>
    <n v="5"/>
    <n v="2022"/>
    <s v="Friday"/>
    <x v="2"/>
    <n v="8"/>
    <n v="58816.94"/>
    <s v="Mala Malhotra"/>
    <n v="18"/>
    <x v="1"/>
    <s v="Cash"/>
    <n v="4"/>
    <s v="OnePlus 9"/>
  </r>
  <r>
    <n v="805"/>
    <n v="27"/>
    <n v="5"/>
    <n v="2022"/>
    <s v="Friday"/>
    <x v="1"/>
    <n v="6"/>
    <n v="12145.97"/>
    <s v="Anita Srivastava"/>
    <n v="23"/>
    <x v="1"/>
    <s v="Cash"/>
    <n v="4"/>
    <s v="Vivo S1"/>
  </r>
  <r>
    <n v="806"/>
    <n v="27"/>
    <n v="5"/>
    <n v="2022"/>
    <s v="Friday"/>
    <x v="3"/>
    <n v="2"/>
    <n v="41693.599999999999"/>
    <s v="Sachin Varma"/>
    <n v="54"/>
    <x v="13"/>
    <s v="UPI"/>
    <n v="3"/>
    <s v="Galaxy A51"/>
  </r>
  <r>
    <n v="807"/>
    <n v="28"/>
    <n v="5"/>
    <n v="2022"/>
    <s v="Saturday"/>
    <x v="2"/>
    <n v="6"/>
    <n v="49712.7"/>
    <s v="Pankaj Shah"/>
    <n v="19"/>
    <x v="9"/>
    <s v="UPI"/>
    <n v="2"/>
    <s v="OnePlus 8T"/>
  </r>
  <r>
    <n v="808"/>
    <n v="28"/>
    <n v="5"/>
    <n v="2022"/>
    <s v="Saturday"/>
    <x v="3"/>
    <n v="9"/>
    <n v="22448.17"/>
    <s v="Prashant Shah"/>
    <n v="22"/>
    <x v="10"/>
    <s v="Credit Card"/>
    <n v="3"/>
    <s v="Galaxy A51"/>
  </r>
  <r>
    <n v="809"/>
    <n v="28"/>
    <n v="5"/>
    <n v="2022"/>
    <s v="Saturday"/>
    <x v="0"/>
    <n v="7"/>
    <n v="64351.01"/>
    <s v="Navin Gupta"/>
    <n v="43"/>
    <x v="2"/>
    <s v="Debit Card"/>
    <n v="5"/>
    <s v="Redmi 9"/>
  </r>
  <r>
    <n v="810"/>
    <n v="28"/>
    <n v="5"/>
    <n v="2022"/>
    <s v="Saturday"/>
    <x v="3"/>
    <n v="9"/>
    <n v="60312.95"/>
    <s v="Pankaj Alva"/>
    <n v="58"/>
    <x v="16"/>
    <s v="Credit Card"/>
    <n v="5"/>
    <s v="Galaxy A51"/>
  </r>
  <r>
    <n v="811"/>
    <n v="29"/>
    <n v="5"/>
    <n v="2022"/>
    <s v="Sunday"/>
    <x v="0"/>
    <n v="5"/>
    <n v="38265.019999999997"/>
    <s v="Amit Joshi"/>
    <n v="30"/>
    <x v="1"/>
    <s v="Cash"/>
    <n v="4"/>
    <s v="Mi 11"/>
  </r>
  <r>
    <n v="812"/>
    <n v="29"/>
    <n v="5"/>
    <n v="2022"/>
    <s v="Sunday"/>
    <x v="1"/>
    <n v="7"/>
    <n v="34668.94"/>
    <s v="Prashant Chatterjee"/>
    <n v="29"/>
    <x v="2"/>
    <s v="UPI"/>
    <n v="5"/>
    <s v="Vivo Y51"/>
  </r>
  <r>
    <n v="813"/>
    <n v="29"/>
    <n v="5"/>
    <n v="2022"/>
    <s v="Sunday"/>
    <x v="0"/>
    <n v="7"/>
    <n v="24194.080000000002"/>
    <s v="Jyoti Gupta"/>
    <n v="22"/>
    <x v="15"/>
    <s v="UPI"/>
    <n v="5"/>
    <s v="Redmi 9"/>
  </r>
  <r>
    <n v="814"/>
    <n v="29"/>
    <n v="5"/>
    <n v="2022"/>
    <s v="Sunday"/>
    <x v="0"/>
    <n v="3"/>
    <n v="53799.59"/>
    <s v="Meena Malhotra"/>
    <n v="19"/>
    <x v="9"/>
    <s v="Cash"/>
    <n v="5"/>
    <s v="Mi 11"/>
  </r>
  <r>
    <n v="815"/>
    <n v="30"/>
    <n v="5"/>
    <n v="2022"/>
    <s v="Monday"/>
    <x v="4"/>
    <n v="7"/>
    <n v="17904.63"/>
    <s v="Priya Roy"/>
    <n v="21"/>
    <x v="1"/>
    <s v="Debit Card"/>
    <n v="2"/>
    <s v="iPhone 11"/>
  </r>
  <r>
    <n v="816"/>
    <n v="30"/>
    <n v="5"/>
    <n v="2022"/>
    <s v="Monday"/>
    <x v="2"/>
    <n v="1"/>
    <n v="50814.27"/>
    <s v="Shruti Verma"/>
    <n v="44"/>
    <x v="7"/>
    <s v="UPI"/>
    <n v="3"/>
    <s v="OnePlus 9"/>
  </r>
  <r>
    <n v="817"/>
    <n v="30"/>
    <n v="5"/>
    <n v="2022"/>
    <s v="Monday"/>
    <x v="2"/>
    <n v="9"/>
    <n v="60547.42"/>
    <s v="Priya Singh"/>
    <n v="27"/>
    <x v="4"/>
    <s v="Debit Card"/>
    <n v="4"/>
    <s v="OnePlus Nord"/>
  </r>
  <r>
    <n v="818"/>
    <n v="30"/>
    <n v="5"/>
    <n v="2022"/>
    <s v="Monday"/>
    <x v="1"/>
    <n v="6"/>
    <n v="23708.29"/>
    <s v="Amit Goyal"/>
    <n v="30"/>
    <x v="1"/>
    <s v="UPI"/>
    <n v="4"/>
    <s v="Vivo V20"/>
  </r>
  <r>
    <n v="819"/>
    <n v="31"/>
    <n v="5"/>
    <n v="2022"/>
    <s v="Tuesday"/>
    <x v="1"/>
    <n v="5"/>
    <n v="61985.64"/>
    <s v="Aditya Nair"/>
    <n v="19"/>
    <x v="16"/>
    <s v="Cash"/>
    <n v="5"/>
    <s v="Vivo S1"/>
  </r>
  <r>
    <n v="820"/>
    <n v="31"/>
    <n v="5"/>
    <n v="2022"/>
    <s v="Tuesday"/>
    <x v="2"/>
    <n v="7"/>
    <n v="11999.39"/>
    <s v="Aditya Jain"/>
    <n v="43"/>
    <x v="2"/>
    <s v="Credit Card"/>
    <n v="2"/>
    <s v="OnePlus Nord"/>
  </r>
  <r>
    <n v="821"/>
    <n v="31"/>
    <n v="5"/>
    <n v="2022"/>
    <s v="Tuesday"/>
    <x v="4"/>
    <n v="5"/>
    <n v="64767.24"/>
    <s v="Aditya Rao"/>
    <n v="32"/>
    <x v="2"/>
    <s v="Credit Card"/>
    <n v="5"/>
    <s v="iPhone 12"/>
  </r>
  <r>
    <n v="822"/>
    <n v="31"/>
    <n v="5"/>
    <n v="2022"/>
    <s v="Tuesday"/>
    <x v="2"/>
    <n v="5"/>
    <n v="17101.73"/>
    <s v="Anita Menon"/>
    <n v="27"/>
    <x v="10"/>
    <s v="Debit Card"/>
    <n v="2"/>
    <s v="OnePlus 9"/>
  </r>
  <r>
    <n v="823"/>
    <n v="1"/>
    <n v="6"/>
    <n v="2022"/>
    <s v="Wednesday"/>
    <x v="4"/>
    <n v="7"/>
    <n v="48745.55"/>
    <s v="Pooja Joshi"/>
    <n v="39"/>
    <x v="11"/>
    <s v="Credit Card"/>
    <n v="4"/>
    <s v="iPhone SE"/>
  </r>
  <r>
    <n v="824"/>
    <n v="1"/>
    <n v="6"/>
    <n v="2022"/>
    <s v="Wednesday"/>
    <x v="1"/>
    <n v="7"/>
    <n v="25004.95"/>
    <s v="Krishna Goyal"/>
    <n v="57"/>
    <x v="1"/>
    <s v="Cash"/>
    <n v="3"/>
    <s v="Vivo V20"/>
  </r>
  <r>
    <n v="825"/>
    <n v="1"/>
    <n v="6"/>
    <n v="2022"/>
    <s v="Wednesday"/>
    <x v="3"/>
    <n v="3"/>
    <n v="60193.14"/>
    <s v="Sumit Teja"/>
    <n v="42"/>
    <x v="1"/>
    <s v="Credit Card"/>
    <n v="5"/>
    <s v="Galaxy S21"/>
  </r>
  <r>
    <n v="826"/>
    <n v="1"/>
    <n v="6"/>
    <n v="2022"/>
    <s v="Wednesday"/>
    <x v="1"/>
    <n v="3"/>
    <n v="40738.019999999997"/>
    <s v="Kiran Mathur"/>
    <n v="32"/>
    <x v="1"/>
    <s v="Debit Card"/>
    <n v="5"/>
    <s v="Vivo Y51"/>
  </r>
  <r>
    <n v="827"/>
    <n v="2"/>
    <n v="6"/>
    <n v="2022"/>
    <s v="Thursday"/>
    <x v="1"/>
    <n v="3"/>
    <n v="18114.47"/>
    <s v="Bina Solanki"/>
    <n v="30"/>
    <x v="12"/>
    <s v="Cash"/>
    <n v="5"/>
    <s v="Vivo S1"/>
  </r>
  <r>
    <n v="828"/>
    <n v="2"/>
    <n v="6"/>
    <n v="2022"/>
    <s v="Thursday"/>
    <x v="0"/>
    <n v="6"/>
    <n v="44259.49"/>
    <s v="Sneha Yadav"/>
    <n v="25"/>
    <x v="15"/>
    <s v="Cash"/>
    <n v="5"/>
    <s v="Mi 11"/>
  </r>
  <r>
    <n v="829"/>
    <n v="2"/>
    <n v="6"/>
    <n v="2022"/>
    <s v="Thursday"/>
    <x v="0"/>
    <n v="6"/>
    <n v="34472.959999999999"/>
    <s v="Pooja Kaur"/>
    <n v="38"/>
    <x v="1"/>
    <s v="UPI"/>
    <n v="3"/>
    <s v="Redmi 9"/>
  </r>
  <r>
    <n v="830"/>
    <n v="2"/>
    <n v="6"/>
    <n v="2022"/>
    <s v="Thursday"/>
    <x v="0"/>
    <n v="3"/>
    <n v="49686.87"/>
    <s v="Namita Ghosh"/>
    <n v="38"/>
    <x v="2"/>
    <s v="UPI"/>
    <n v="4"/>
    <s v="Mi 11"/>
  </r>
  <r>
    <n v="831"/>
    <n v="3"/>
    <n v="6"/>
    <n v="2022"/>
    <s v="Friday"/>
    <x v="0"/>
    <n v="3"/>
    <n v="62914.2"/>
    <s v="Sunita Mathur"/>
    <n v="39"/>
    <x v="11"/>
    <s v="Credit Card"/>
    <n v="4"/>
    <s v="Redmi 9"/>
  </r>
  <r>
    <n v="832"/>
    <n v="3"/>
    <n v="6"/>
    <n v="2022"/>
    <s v="Friday"/>
    <x v="4"/>
    <n v="8"/>
    <n v="34563.35"/>
    <s v="Vivek Srivastava"/>
    <n v="50"/>
    <x v="1"/>
    <s v="Debit Card"/>
    <n v="2"/>
    <s v="iPhone 11"/>
  </r>
  <r>
    <n v="833"/>
    <n v="3"/>
    <n v="6"/>
    <n v="2022"/>
    <s v="Friday"/>
    <x v="2"/>
    <n v="8"/>
    <n v="27392.84"/>
    <s v="Radha Sheth"/>
    <n v="44"/>
    <x v="1"/>
    <s v="Cash"/>
    <n v="2"/>
    <s v="OnePlus Nord"/>
  </r>
  <r>
    <n v="834"/>
    <n v="3"/>
    <n v="6"/>
    <n v="2022"/>
    <s v="Friday"/>
    <x v="3"/>
    <n v="7"/>
    <n v="10870.91"/>
    <s v="Nikhil Menon"/>
    <n v="57"/>
    <x v="0"/>
    <s v="Credit Card"/>
    <n v="4"/>
    <s v="Galaxy Note 20"/>
  </r>
  <r>
    <n v="835"/>
    <n v="4"/>
    <n v="6"/>
    <n v="2022"/>
    <s v="Saturday"/>
    <x v="1"/>
    <n v="4"/>
    <n v="44490.34"/>
    <s v="Aditya Kulkarni"/>
    <n v="39"/>
    <x v="10"/>
    <s v="Credit Card"/>
    <n v="5"/>
    <s v="Vivo V20"/>
  </r>
  <r>
    <n v="836"/>
    <n v="4"/>
    <n v="6"/>
    <n v="2022"/>
    <s v="Saturday"/>
    <x v="4"/>
    <n v="4"/>
    <n v="34136.49"/>
    <s v="Krishna Rathod"/>
    <n v="47"/>
    <x v="1"/>
    <s v="UPI"/>
    <n v="3"/>
    <s v="iPhone SE"/>
  </r>
  <r>
    <n v="837"/>
    <n v="4"/>
    <n v="6"/>
    <n v="2022"/>
    <s v="Saturday"/>
    <x v="3"/>
    <n v="3"/>
    <n v="32478.95"/>
    <s v="Reena Arora"/>
    <n v="26"/>
    <x v="17"/>
    <s v="Credit Card"/>
    <n v="4"/>
    <s v="Galaxy S21"/>
  </r>
  <r>
    <n v="838"/>
    <n v="5"/>
    <n v="6"/>
    <n v="2022"/>
    <s v="Sunday"/>
    <x v="4"/>
    <n v="5"/>
    <n v="20976.12"/>
    <s v="Anita Pathak"/>
    <n v="52"/>
    <x v="2"/>
    <s v="Credit Card"/>
    <n v="3"/>
    <s v="iPhone 11"/>
  </r>
  <r>
    <n v="839"/>
    <n v="5"/>
    <n v="6"/>
    <n v="2022"/>
    <s v="Sunday"/>
    <x v="4"/>
    <n v="3"/>
    <n v="35803.32"/>
    <s v="Yogesh Rao"/>
    <n v="35"/>
    <x v="9"/>
    <s v="UPI"/>
    <n v="5"/>
    <s v="iPhone SE"/>
  </r>
  <r>
    <n v="840"/>
    <n v="5"/>
    <n v="6"/>
    <n v="2022"/>
    <s v="Sunday"/>
    <x v="1"/>
    <n v="8"/>
    <n v="69066.52"/>
    <s v="Umesh Teja"/>
    <n v="59"/>
    <x v="16"/>
    <s v="Credit Card"/>
    <n v="5"/>
    <s v="Vivo Y51"/>
  </r>
  <r>
    <n v="841"/>
    <n v="5"/>
    <n v="6"/>
    <n v="2022"/>
    <s v="Sunday"/>
    <x v="2"/>
    <n v="7"/>
    <n v="27865.25"/>
    <s v="Vivek Yadav"/>
    <n v="22"/>
    <x v="7"/>
    <s v="Credit Card"/>
    <n v="5"/>
    <s v="OnePlus 8T"/>
  </r>
  <r>
    <n v="842"/>
    <n v="6"/>
    <n v="6"/>
    <n v="2022"/>
    <s v="Monday"/>
    <x v="0"/>
    <n v="3"/>
    <n v="45982.26"/>
    <s v="Sunil Siddiqui"/>
    <n v="44"/>
    <x v="1"/>
    <s v="Cash"/>
    <n v="4"/>
    <s v="Redmi Note 10"/>
  </r>
  <r>
    <n v="843"/>
    <n v="6"/>
    <n v="6"/>
    <n v="2022"/>
    <s v="Monday"/>
    <x v="2"/>
    <n v="9"/>
    <n v="56589.21"/>
    <s v="Vivek Srivastava"/>
    <n v="23"/>
    <x v="17"/>
    <s v="Credit Card"/>
    <n v="2"/>
    <s v="OnePlus Nord"/>
  </r>
  <r>
    <n v="844"/>
    <n v="6"/>
    <n v="6"/>
    <n v="2022"/>
    <s v="Monday"/>
    <x v="1"/>
    <n v="5"/>
    <n v="54949.47"/>
    <s v="Navin Pathak"/>
    <n v="49"/>
    <x v="14"/>
    <s v="UPI"/>
    <n v="4"/>
    <s v="Vivo Y51"/>
  </r>
  <r>
    <n v="845"/>
    <n v="6"/>
    <n v="6"/>
    <n v="2022"/>
    <s v="Monday"/>
    <x v="1"/>
    <n v="9"/>
    <n v="29726.46"/>
    <s v="Tanuja Goyal"/>
    <n v="25"/>
    <x v="1"/>
    <s v="UPI"/>
    <n v="5"/>
    <s v="Vivo V20"/>
  </r>
  <r>
    <n v="846"/>
    <n v="7"/>
    <n v="6"/>
    <n v="2022"/>
    <s v="Tuesday"/>
    <x v="1"/>
    <n v="7"/>
    <n v="46651.61"/>
    <s v="Tanuja Bhatnagar"/>
    <n v="56"/>
    <x v="1"/>
    <s v="Cash"/>
    <n v="3"/>
    <s v="Vivo V20"/>
  </r>
  <r>
    <n v="847"/>
    <n v="7"/>
    <n v="6"/>
    <n v="2022"/>
    <s v="Tuesday"/>
    <x v="3"/>
    <n v="7"/>
    <n v="62275.88"/>
    <s v="Monika Srivastava"/>
    <n v="38"/>
    <x v="11"/>
    <s v="UPI"/>
    <n v="4"/>
    <s v="Galaxy S21"/>
  </r>
  <r>
    <n v="848"/>
    <n v="7"/>
    <n v="6"/>
    <n v="2022"/>
    <s v="Tuesday"/>
    <x v="2"/>
    <n v="6"/>
    <n v="10926.85"/>
    <s v="Priyanka Goyal"/>
    <n v="35"/>
    <x v="12"/>
    <s v="UPI"/>
    <n v="2"/>
    <s v="OnePlus 9"/>
  </r>
  <r>
    <n v="849"/>
    <n v="8"/>
    <n v="6"/>
    <n v="2022"/>
    <s v="Wednesday"/>
    <x v="2"/>
    <n v="2"/>
    <n v="36144.06"/>
    <s v="Harish Prasad"/>
    <n v="31"/>
    <x v="2"/>
    <s v="UPI"/>
    <n v="5"/>
    <s v="OnePlus 8T"/>
  </r>
  <r>
    <n v="850"/>
    <n v="8"/>
    <n v="6"/>
    <n v="2022"/>
    <s v="Wednesday"/>
    <x v="4"/>
    <n v="9"/>
    <n v="23456.41"/>
    <s v="Vinod Ahuja"/>
    <n v="32"/>
    <x v="17"/>
    <s v="Credit Card"/>
    <n v="4"/>
    <s v="iPhone 11"/>
  </r>
  <r>
    <n v="851"/>
    <n v="8"/>
    <n v="6"/>
    <n v="2022"/>
    <s v="Wednesday"/>
    <x v="4"/>
    <n v="6"/>
    <n v="33317.94"/>
    <s v="Tapan Gupta"/>
    <n v="59"/>
    <x v="0"/>
    <s v="Cash"/>
    <n v="5"/>
    <s v="iPhone 11"/>
  </r>
  <r>
    <n v="852"/>
    <n v="8"/>
    <n v="6"/>
    <n v="2022"/>
    <s v="Wednesday"/>
    <x v="4"/>
    <n v="8"/>
    <n v="34959.379999999997"/>
    <s v="Tapan Joshi"/>
    <n v="43"/>
    <x v="15"/>
    <s v="Debit Card"/>
    <n v="5"/>
    <s v="iPhone SE"/>
  </r>
  <r>
    <n v="853"/>
    <n v="9"/>
    <n v="6"/>
    <n v="2022"/>
    <s v="Thursday"/>
    <x v="1"/>
    <n v="1"/>
    <n v="54800.26"/>
    <s v="Krishna Menon"/>
    <n v="49"/>
    <x v="1"/>
    <s v="Cash"/>
    <n v="5"/>
    <s v="Vivo S1"/>
  </r>
  <r>
    <n v="854"/>
    <n v="9"/>
    <n v="6"/>
    <n v="2022"/>
    <s v="Thursday"/>
    <x v="2"/>
    <n v="5"/>
    <n v="15629.31"/>
    <s v="Pankaj Sheth"/>
    <n v="56"/>
    <x v="2"/>
    <s v="Cash"/>
    <n v="3"/>
    <s v="OnePlus 9"/>
  </r>
  <r>
    <n v="855"/>
    <n v="9"/>
    <n v="6"/>
    <n v="2022"/>
    <s v="Thursday"/>
    <x v="1"/>
    <n v="1"/>
    <n v="40755.03"/>
    <s v="Anand Srivastava"/>
    <n v="45"/>
    <x v="2"/>
    <s v="Cash"/>
    <n v="5"/>
    <s v="Vivo Y51"/>
  </r>
  <r>
    <n v="856"/>
    <n v="10"/>
    <n v="6"/>
    <n v="2022"/>
    <s v="Friday"/>
    <x v="3"/>
    <n v="8"/>
    <n v="43851.69"/>
    <s v="Rohan Dutta"/>
    <n v="56"/>
    <x v="1"/>
    <s v="Debit Card"/>
    <n v="5"/>
    <s v="Galaxy S21"/>
  </r>
  <r>
    <n v="857"/>
    <n v="10"/>
    <n v="6"/>
    <n v="2022"/>
    <s v="Friday"/>
    <x v="4"/>
    <n v="8"/>
    <n v="39649.46"/>
    <s v="Pooja Kaur"/>
    <n v="49"/>
    <x v="1"/>
    <s v="Debit Card"/>
    <n v="2"/>
    <s v="iPhone 11"/>
  </r>
  <r>
    <n v="858"/>
    <n v="10"/>
    <n v="6"/>
    <n v="2022"/>
    <s v="Friday"/>
    <x v="1"/>
    <n v="1"/>
    <n v="53912.4"/>
    <s v="Yogesh Kulkarni"/>
    <n v="30"/>
    <x v="12"/>
    <s v="UPI"/>
    <n v="2"/>
    <s v="Vivo S1"/>
  </r>
  <r>
    <n v="859"/>
    <n v="11"/>
    <n v="6"/>
    <n v="2022"/>
    <s v="Saturday"/>
    <x v="1"/>
    <n v="9"/>
    <n v="33027.480000000003"/>
    <s v="Sachin Joshi"/>
    <n v="32"/>
    <x v="14"/>
    <s v="Credit Card"/>
    <n v="5"/>
    <s v="Vivo V20"/>
  </r>
  <r>
    <n v="860"/>
    <n v="11"/>
    <n v="6"/>
    <n v="2022"/>
    <s v="Saturday"/>
    <x v="3"/>
    <n v="2"/>
    <n v="66698.02"/>
    <s v="Devendra Rao"/>
    <n v="35"/>
    <x v="16"/>
    <s v="UPI"/>
    <n v="2"/>
    <s v="Galaxy Note 20"/>
  </r>
  <r>
    <n v="861"/>
    <n v="11"/>
    <n v="6"/>
    <n v="2022"/>
    <s v="Saturday"/>
    <x v="0"/>
    <n v="9"/>
    <n v="38908.21"/>
    <s v="Manoj Pathak"/>
    <n v="56"/>
    <x v="14"/>
    <s v="UPI"/>
    <n v="5"/>
    <s v="Mi 11"/>
  </r>
  <r>
    <n v="862"/>
    <n v="11"/>
    <n v="6"/>
    <n v="2022"/>
    <s v="Saturday"/>
    <x v="2"/>
    <n v="1"/>
    <n v="44272.83"/>
    <s v="Kunal Deshmukh"/>
    <n v="23"/>
    <x v="3"/>
    <s v="Debit Card"/>
    <n v="4"/>
    <s v="OnePlus 8T"/>
  </r>
  <r>
    <n v="863"/>
    <n v="12"/>
    <n v="6"/>
    <n v="2022"/>
    <s v="Sunday"/>
    <x v="0"/>
    <n v="9"/>
    <n v="59531.85"/>
    <s v="Ayesha Ghosh"/>
    <n v="28"/>
    <x v="14"/>
    <s v="UPI"/>
    <n v="5"/>
    <s v="Redmi Note 10"/>
  </r>
  <r>
    <n v="864"/>
    <n v="12"/>
    <n v="6"/>
    <n v="2022"/>
    <s v="Sunday"/>
    <x v="4"/>
    <n v="4"/>
    <n v="26514.17"/>
    <s v="Rohan Mishra"/>
    <n v="49"/>
    <x v="2"/>
    <s v="UPI"/>
    <n v="4"/>
    <s v="iPhone SE"/>
  </r>
  <r>
    <n v="865"/>
    <n v="12"/>
    <n v="6"/>
    <n v="2022"/>
    <s v="Sunday"/>
    <x v="1"/>
    <n v="9"/>
    <n v="14512.12"/>
    <s v="Sumit Alva"/>
    <n v="57"/>
    <x v="0"/>
    <s v="Debit Card"/>
    <n v="2"/>
    <s v="Vivo Y51"/>
  </r>
  <r>
    <n v="866"/>
    <n v="13"/>
    <n v="6"/>
    <n v="2022"/>
    <s v="Monday"/>
    <x v="3"/>
    <n v="7"/>
    <n v="52467.040000000001"/>
    <s v="Anita Mehta"/>
    <n v="37"/>
    <x v="2"/>
    <s v="Cash"/>
    <n v="3"/>
    <s v="Galaxy S21"/>
  </r>
  <r>
    <n v="867"/>
    <n v="13"/>
    <n v="6"/>
    <n v="2022"/>
    <s v="Monday"/>
    <x v="3"/>
    <n v="6"/>
    <n v="38980.71"/>
    <s v="Umesh Menon"/>
    <n v="50"/>
    <x v="10"/>
    <s v="Cash"/>
    <n v="3"/>
    <s v="Galaxy Note 20"/>
  </r>
  <r>
    <n v="868"/>
    <n v="13"/>
    <n v="6"/>
    <n v="2022"/>
    <s v="Monday"/>
    <x v="2"/>
    <n v="5"/>
    <n v="63790.26"/>
    <s v="Deepika Gupta"/>
    <n v="57"/>
    <x v="16"/>
    <s v="Debit Card"/>
    <n v="5"/>
    <s v="OnePlus 9"/>
  </r>
  <r>
    <n v="869"/>
    <n v="14"/>
    <n v="6"/>
    <n v="2022"/>
    <s v="Tuesday"/>
    <x v="0"/>
    <n v="9"/>
    <n v="68960.800000000003"/>
    <s v="Tanuja Dutta"/>
    <n v="25"/>
    <x v="10"/>
    <s v="Credit Card"/>
    <n v="5"/>
    <s v="Redmi 9"/>
  </r>
  <r>
    <n v="870"/>
    <n v="14"/>
    <n v="6"/>
    <n v="2022"/>
    <s v="Tuesday"/>
    <x v="2"/>
    <n v="2"/>
    <n v="33946.559999999998"/>
    <s v="Sachin Rawat"/>
    <n v="52"/>
    <x v="5"/>
    <s v="UPI"/>
    <n v="2"/>
    <s v="OnePlus 8T"/>
  </r>
  <r>
    <n v="871"/>
    <n v="14"/>
    <n v="6"/>
    <n v="2022"/>
    <s v="Tuesday"/>
    <x v="1"/>
    <n v="2"/>
    <n v="34926.339999999997"/>
    <s v="Ayesha Kaur"/>
    <n v="22"/>
    <x v="4"/>
    <s v="Cash"/>
    <n v="3"/>
    <s v="Vivo V20"/>
  </r>
  <r>
    <n v="872"/>
    <n v="15"/>
    <n v="6"/>
    <n v="2022"/>
    <s v="Wednesday"/>
    <x v="2"/>
    <n v="9"/>
    <n v="34477.760000000002"/>
    <s v="Anjali Ahuja"/>
    <n v="52"/>
    <x v="9"/>
    <s v="Debit Card"/>
    <n v="3"/>
    <s v="OnePlus 8T"/>
  </r>
  <r>
    <n v="873"/>
    <n v="15"/>
    <n v="6"/>
    <n v="2022"/>
    <s v="Wednesday"/>
    <x v="3"/>
    <n v="3"/>
    <n v="29473.25"/>
    <s v="Isha Nair"/>
    <n v="31"/>
    <x v="4"/>
    <s v="Credit Card"/>
    <n v="5"/>
    <s v="Galaxy S21"/>
  </r>
  <r>
    <n v="874"/>
    <n v="15"/>
    <n v="6"/>
    <n v="2022"/>
    <s v="Wednesday"/>
    <x v="3"/>
    <n v="8"/>
    <n v="56901.23"/>
    <s v="Bhavana Kapoor"/>
    <n v="38"/>
    <x v="15"/>
    <s v="UPI"/>
    <n v="3"/>
    <s v="Galaxy A51"/>
  </r>
  <r>
    <n v="875"/>
    <n v="16"/>
    <n v="6"/>
    <n v="2022"/>
    <s v="Thursday"/>
    <x v="4"/>
    <n v="9"/>
    <n v="55539.75"/>
    <s v="Prashant Dutta"/>
    <n v="41"/>
    <x v="13"/>
    <s v="Debit Card"/>
    <n v="5"/>
    <s v="iPhone SE"/>
  </r>
  <r>
    <n v="876"/>
    <n v="16"/>
    <n v="6"/>
    <n v="2022"/>
    <s v="Thursday"/>
    <x v="4"/>
    <n v="8"/>
    <n v="38718.69"/>
    <s v="Anand Kaur"/>
    <n v="34"/>
    <x v="11"/>
    <s v="Debit Card"/>
    <n v="5"/>
    <s v="iPhone 12"/>
  </r>
  <r>
    <n v="877"/>
    <n v="16"/>
    <n v="6"/>
    <n v="2022"/>
    <s v="Thursday"/>
    <x v="1"/>
    <n v="4"/>
    <n v="12679.67"/>
    <s v="Deepika Verma"/>
    <n v="35"/>
    <x v="12"/>
    <s v="Debit Card"/>
    <n v="3"/>
    <s v="Vivo S1"/>
  </r>
  <r>
    <n v="878"/>
    <n v="16"/>
    <n v="6"/>
    <n v="2022"/>
    <s v="Thursday"/>
    <x v="0"/>
    <n v="1"/>
    <n v="28573.56"/>
    <s v="Kiran Rathod"/>
    <n v="51"/>
    <x v="6"/>
    <s v="UPI"/>
    <n v="4"/>
    <s v="Mi 11"/>
  </r>
  <r>
    <n v="879"/>
    <n v="17"/>
    <n v="6"/>
    <n v="2022"/>
    <s v="Friday"/>
    <x v="2"/>
    <n v="4"/>
    <n v="27538.18"/>
    <s v="Meena Das"/>
    <n v="29"/>
    <x v="2"/>
    <s v="Cash"/>
    <n v="2"/>
    <s v="OnePlus Nord"/>
  </r>
  <r>
    <n v="880"/>
    <n v="17"/>
    <n v="6"/>
    <n v="2022"/>
    <s v="Friday"/>
    <x v="1"/>
    <n v="9"/>
    <n v="58665.23"/>
    <s v="Pankaj Srivastava"/>
    <n v="33"/>
    <x v="1"/>
    <s v="UPI"/>
    <n v="5"/>
    <s v="Vivo Y51"/>
  </r>
  <r>
    <n v="881"/>
    <n v="17"/>
    <n v="6"/>
    <n v="2022"/>
    <s v="Friday"/>
    <x v="4"/>
    <n v="2"/>
    <n v="15254.53"/>
    <s v="Sneha Rao"/>
    <n v="21"/>
    <x v="14"/>
    <s v="UPI"/>
    <n v="3"/>
    <s v="iPhone SE"/>
  </r>
  <r>
    <n v="882"/>
    <n v="18"/>
    <n v="6"/>
    <n v="2022"/>
    <s v="Saturday"/>
    <x v="2"/>
    <n v="3"/>
    <n v="58340.52"/>
    <s v="Nikhil Patel"/>
    <n v="42"/>
    <x v="4"/>
    <s v="Cash"/>
    <n v="3"/>
    <s v="OnePlus Nord"/>
  </r>
  <r>
    <n v="883"/>
    <n v="18"/>
    <n v="6"/>
    <n v="2022"/>
    <s v="Saturday"/>
    <x v="4"/>
    <n v="8"/>
    <n v="50151.02"/>
    <s v="Lalita Siddiqui"/>
    <n v="51"/>
    <x v="1"/>
    <s v="Debit Card"/>
    <n v="5"/>
    <s v="iPhone 11"/>
  </r>
  <r>
    <n v="884"/>
    <n v="18"/>
    <n v="6"/>
    <n v="2022"/>
    <s v="Saturday"/>
    <x v="2"/>
    <n v="6"/>
    <n v="53946.49"/>
    <s v="Radha Kulkarni"/>
    <n v="45"/>
    <x v="1"/>
    <s v="Credit Card"/>
    <n v="4"/>
    <s v="OnePlus Nord"/>
  </r>
  <r>
    <n v="885"/>
    <n v="18"/>
    <n v="6"/>
    <n v="2022"/>
    <s v="Saturday"/>
    <x v="0"/>
    <n v="8"/>
    <n v="35932.79"/>
    <s v="Meena Kumar"/>
    <n v="28"/>
    <x v="5"/>
    <s v="Credit Card"/>
    <n v="3"/>
    <s v="Mi 11"/>
  </r>
  <r>
    <n v="886"/>
    <n v="19"/>
    <n v="6"/>
    <n v="2022"/>
    <s v="Sunday"/>
    <x v="1"/>
    <n v="7"/>
    <n v="50783.55"/>
    <s v="Vinod Chatterjee"/>
    <n v="30"/>
    <x v="10"/>
    <s v="Cash"/>
    <n v="5"/>
    <s v="Vivo Y51"/>
  </r>
  <r>
    <n v="887"/>
    <n v="19"/>
    <n v="6"/>
    <n v="2022"/>
    <s v="Sunday"/>
    <x v="2"/>
    <n v="5"/>
    <n v="46541.74"/>
    <s v="Priyanka Nambiar"/>
    <n v="48"/>
    <x v="11"/>
    <s v="Cash"/>
    <n v="2"/>
    <s v="OnePlus Nord"/>
  </r>
  <r>
    <n v="888"/>
    <n v="19"/>
    <n v="6"/>
    <n v="2022"/>
    <s v="Sunday"/>
    <x v="3"/>
    <n v="9"/>
    <n v="56138.81"/>
    <s v="Reena Teja"/>
    <n v="42"/>
    <x v="1"/>
    <s v="Debit Card"/>
    <n v="5"/>
    <s v="Galaxy A51"/>
  </r>
  <r>
    <n v="889"/>
    <n v="20"/>
    <n v="6"/>
    <n v="2022"/>
    <s v="Monday"/>
    <x v="3"/>
    <n v="4"/>
    <n v="36806.19"/>
    <s v="Manoj Jain"/>
    <n v="56"/>
    <x v="9"/>
    <s v="Credit Card"/>
    <n v="3"/>
    <s v="Galaxy Note 20"/>
  </r>
  <r>
    <n v="890"/>
    <n v="20"/>
    <n v="6"/>
    <n v="2022"/>
    <s v="Monday"/>
    <x v="2"/>
    <n v="6"/>
    <n v="38369.54"/>
    <s v="Ramesh Mishra"/>
    <n v="27"/>
    <x v="1"/>
    <s v="Credit Card"/>
    <n v="2"/>
    <s v="OnePlus 9"/>
  </r>
  <r>
    <n v="891"/>
    <n v="20"/>
    <n v="6"/>
    <n v="2022"/>
    <s v="Monday"/>
    <x v="2"/>
    <n v="2"/>
    <n v="48614.57"/>
    <s v="Anita Srivastava"/>
    <n v="41"/>
    <x v="10"/>
    <s v="Debit Card"/>
    <n v="5"/>
    <s v="OnePlus Nord"/>
  </r>
  <r>
    <n v="892"/>
    <n v="21"/>
    <n v="6"/>
    <n v="2022"/>
    <s v="Tuesday"/>
    <x v="2"/>
    <n v="2"/>
    <n v="16484.650000000001"/>
    <s v="Namita Sheth"/>
    <n v="18"/>
    <x v="10"/>
    <s v="Cash"/>
    <n v="5"/>
    <s v="OnePlus Nord"/>
  </r>
  <r>
    <n v="893"/>
    <n v="21"/>
    <n v="6"/>
    <n v="2022"/>
    <s v="Tuesday"/>
    <x v="3"/>
    <n v="2"/>
    <n v="36174.67"/>
    <s v="Mala Chatterjee"/>
    <n v="42"/>
    <x v="3"/>
    <s v="Cash"/>
    <n v="5"/>
    <s v="Galaxy S21"/>
  </r>
  <r>
    <n v="894"/>
    <n v="21"/>
    <n v="6"/>
    <n v="2022"/>
    <s v="Tuesday"/>
    <x v="3"/>
    <n v="7"/>
    <n v="68317.05"/>
    <s v="Sumit Joshi"/>
    <n v="45"/>
    <x v="3"/>
    <s v="Debit Card"/>
    <n v="4"/>
    <s v="Galaxy S21"/>
  </r>
  <r>
    <n v="895"/>
    <n v="22"/>
    <n v="6"/>
    <n v="2022"/>
    <s v="Wednesday"/>
    <x v="2"/>
    <n v="2"/>
    <n v="12253.14"/>
    <s v="Vivek Bhatnagar"/>
    <n v="53"/>
    <x v="1"/>
    <s v="Cash"/>
    <n v="5"/>
    <s v="OnePlus Nord"/>
  </r>
  <r>
    <n v="896"/>
    <n v="22"/>
    <n v="6"/>
    <n v="2022"/>
    <s v="Wednesday"/>
    <x v="4"/>
    <n v="2"/>
    <n v="28960.28"/>
    <s v="Radha Kulkarni"/>
    <n v="35"/>
    <x v="14"/>
    <s v="UPI"/>
    <n v="5"/>
    <s v="iPhone SE"/>
  </r>
  <r>
    <n v="897"/>
    <n v="22"/>
    <n v="6"/>
    <n v="2022"/>
    <s v="Wednesday"/>
    <x v="4"/>
    <n v="9"/>
    <n v="28846.59"/>
    <s v="Tapan Deshmukh"/>
    <n v="23"/>
    <x v="1"/>
    <s v="Cash"/>
    <n v="4"/>
    <s v="iPhone SE"/>
  </r>
  <r>
    <n v="898"/>
    <n v="23"/>
    <n v="6"/>
    <n v="2022"/>
    <s v="Thursday"/>
    <x v="0"/>
    <n v="7"/>
    <n v="48007.85"/>
    <s v="Sachin Rao"/>
    <n v="19"/>
    <x v="1"/>
    <s v="UPI"/>
    <n v="5"/>
    <s v="Redmi Note 10"/>
  </r>
  <r>
    <n v="899"/>
    <n v="23"/>
    <n v="6"/>
    <n v="2022"/>
    <s v="Thursday"/>
    <x v="1"/>
    <n v="3"/>
    <n v="16348.02"/>
    <s v="Gita Teja"/>
    <n v="20"/>
    <x v="1"/>
    <s v="Credit Card"/>
    <n v="5"/>
    <s v="Vivo S1"/>
  </r>
  <r>
    <n v="900"/>
    <n v="23"/>
    <n v="6"/>
    <n v="2022"/>
    <s v="Thursday"/>
    <x v="4"/>
    <n v="3"/>
    <n v="47712.639999999999"/>
    <s v="Priya Patel"/>
    <n v="25"/>
    <x v="1"/>
    <s v="Credit Card"/>
    <n v="4"/>
    <s v="iPhone 12"/>
  </r>
  <r>
    <n v="901"/>
    <n v="23"/>
    <n v="6"/>
    <n v="2022"/>
    <s v="Thursday"/>
    <x v="3"/>
    <n v="7"/>
    <n v="15702.41"/>
    <s v="Anand Thakur"/>
    <n v="48"/>
    <x v="15"/>
    <s v="Cash"/>
    <n v="5"/>
    <s v="Galaxy S21"/>
  </r>
  <r>
    <n v="902"/>
    <n v="24"/>
    <n v="6"/>
    <n v="2022"/>
    <s v="Friday"/>
    <x v="4"/>
    <n v="5"/>
    <n v="15697.22"/>
    <s v="Sneha Thakur"/>
    <n v="36"/>
    <x v="17"/>
    <s v="Debit Card"/>
    <n v="2"/>
    <s v="iPhone 11"/>
  </r>
  <r>
    <n v="903"/>
    <n v="24"/>
    <n v="6"/>
    <n v="2022"/>
    <s v="Friday"/>
    <x v="0"/>
    <n v="6"/>
    <n v="53691"/>
    <s v="Arun Deshmukh"/>
    <n v="23"/>
    <x v="2"/>
    <s v="Cash"/>
    <n v="3"/>
    <s v="Redmi Note 10"/>
  </r>
  <r>
    <n v="904"/>
    <n v="24"/>
    <n v="6"/>
    <n v="2022"/>
    <s v="Friday"/>
    <x v="0"/>
    <n v="8"/>
    <n v="29448.11"/>
    <s v="Isha Nair"/>
    <n v="31"/>
    <x v="11"/>
    <s v="Debit Card"/>
    <n v="5"/>
    <s v="Mi 11"/>
  </r>
  <r>
    <n v="905"/>
    <n v="24"/>
    <n v="6"/>
    <n v="2022"/>
    <s v="Friday"/>
    <x v="1"/>
    <n v="9"/>
    <n v="68645.38"/>
    <s v="Bina Joshi"/>
    <n v="20"/>
    <x v="3"/>
    <s v="Credit Card"/>
    <n v="5"/>
    <s v="Vivo V20"/>
  </r>
  <r>
    <n v="906"/>
    <n v="25"/>
    <n v="6"/>
    <n v="2022"/>
    <s v="Saturday"/>
    <x v="4"/>
    <n v="1"/>
    <n v="12241.18"/>
    <s v="Arun Dutta"/>
    <n v="18"/>
    <x v="15"/>
    <s v="Credit Card"/>
    <n v="3"/>
    <s v="iPhone 12"/>
  </r>
  <r>
    <n v="907"/>
    <n v="25"/>
    <n v="6"/>
    <n v="2022"/>
    <s v="Saturday"/>
    <x v="3"/>
    <n v="3"/>
    <n v="36706.400000000001"/>
    <s v="Aditya Luthra"/>
    <n v="47"/>
    <x v="16"/>
    <s v="Credit Card"/>
    <n v="5"/>
    <s v="Galaxy Note 20"/>
  </r>
  <r>
    <n v="908"/>
    <n v="25"/>
    <n v="6"/>
    <n v="2022"/>
    <s v="Saturday"/>
    <x v="3"/>
    <n v="7"/>
    <n v="16788.16"/>
    <s v="Kiran Rawat"/>
    <n v="36"/>
    <x v="2"/>
    <s v="Debit Card"/>
    <n v="3"/>
    <s v="Galaxy Note 20"/>
  </r>
  <r>
    <n v="909"/>
    <n v="26"/>
    <n v="6"/>
    <n v="2022"/>
    <s v="Sunday"/>
    <x v="2"/>
    <n v="6"/>
    <n v="31082.74"/>
    <s v="Ramesh Chatterjee"/>
    <n v="36"/>
    <x v="1"/>
    <s v="Debit Card"/>
    <n v="4"/>
    <s v="OnePlus 8T"/>
  </r>
  <r>
    <n v="910"/>
    <n v="26"/>
    <n v="6"/>
    <n v="2022"/>
    <s v="Sunday"/>
    <x v="3"/>
    <n v="7"/>
    <n v="69893.350000000006"/>
    <s v="Meena Mathur"/>
    <n v="26"/>
    <x v="13"/>
    <s v="Credit Card"/>
    <n v="5"/>
    <s v="Galaxy Note 20"/>
  </r>
  <r>
    <n v="911"/>
    <n v="26"/>
    <n v="6"/>
    <n v="2022"/>
    <s v="Sunday"/>
    <x v="1"/>
    <n v="8"/>
    <n v="63330.55"/>
    <s v="Krishna Mehta"/>
    <n v="24"/>
    <x v="1"/>
    <s v="Cash"/>
    <n v="5"/>
    <s v="Vivo Y51"/>
  </r>
  <r>
    <n v="912"/>
    <n v="27"/>
    <n v="6"/>
    <n v="2022"/>
    <s v="Monday"/>
    <x v="1"/>
    <n v="6"/>
    <n v="12899.46"/>
    <s v="Pankaj Desai"/>
    <n v="54"/>
    <x v="9"/>
    <s v="Debit Card"/>
    <n v="2"/>
    <s v="Vivo Y51"/>
  </r>
  <r>
    <n v="913"/>
    <n v="27"/>
    <n v="6"/>
    <n v="2022"/>
    <s v="Monday"/>
    <x v="3"/>
    <n v="3"/>
    <n v="43795.35"/>
    <s v="Navin Joshi"/>
    <n v="58"/>
    <x v="7"/>
    <s v="UPI"/>
    <n v="2"/>
    <s v="Galaxy Note 20"/>
  </r>
  <r>
    <n v="914"/>
    <n v="27"/>
    <n v="6"/>
    <n v="2022"/>
    <s v="Monday"/>
    <x v="3"/>
    <n v="2"/>
    <n v="48869.34"/>
    <s v="Ravi Teja"/>
    <n v="24"/>
    <x v="15"/>
    <s v="Credit Card"/>
    <n v="3"/>
    <s v="Galaxy S21"/>
  </r>
  <r>
    <n v="915"/>
    <n v="27"/>
    <n v="6"/>
    <n v="2022"/>
    <s v="Monday"/>
    <x v="2"/>
    <n v="7"/>
    <n v="22572.080000000002"/>
    <s v="Neeta Mishra"/>
    <n v="26"/>
    <x v="7"/>
    <s v="Debit Card"/>
    <n v="4"/>
    <s v="OnePlus 9"/>
  </r>
  <r>
    <n v="916"/>
    <n v="28"/>
    <n v="6"/>
    <n v="2022"/>
    <s v="Tuesday"/>
    <x v="3"/>
    <n v="1"/>
    <n v="18706.330000000002"/>
    <s v="Vijay Siddiqui"/>
    <n v="21"/>
    <x v="4"/>
    <s v="Credit Card"/>
    <n v="3"/>
    <s v="Galaxy Note 20"/>
  </r>
  <r>
    <n v="917"/>
    <n v="28"/>
    <n v="6"/>
    <n v="2022"/>
    <s v="Tuesday"/>
    <x v="2"/>
    <n v="3"/>
    <n v="64262.87"/>
    <s v="Sumit Malhotra"/>
    <n v="42"/>
    <x v="2"/>
    <s v="UPI"/>
    <n v="5"/>
    <s v="OnePlus Nord"/>
  </r>
  <r>
    <n v="918"/>
    <n v="28"/>
    <n v="6"/>
    <n v="2022"/>
    <s v="Tuesday"/>
    <x v="2"/>
    <n v="4"/>
    <n v="68128.990000000005"/>
    <s v="Vivek Alva"/>
    <n v="29"/>
    <x v="18"/>
    <s v="Cash"/>
    <n v="5"/>
    <s v="OnePlus 8T"/>
  </r>
  <r>
    <n v="919"/>
    <n v="29"/>
    <n v="6"/>
    <n v="2022"/>
    <s v="Wednesday"/>
    <x v="3"/>
    <n v="1"/>
    <n v="69513.570000000007"/>
    <s v="Pooja Deshmukh"/>
    <n v="23"/>
    <x v="1"/>
    <s v="UPI"/>
    <n v="3"/>
    <s v="Galaxy A51"/>
  </r>
  <r>
    <n v="920"/>
    <n v="29"/>
    <n v="6"/>
    <n v="2022"/>
    <s v="Wednesday"/>
    <x v="0"/>
    <n v="5"/>
    <n v="57385.71"/>
    <s v="Arun Gupta"/>
    <n v="35"/>
    <x v="6"/>
    <s v="Cash"/>
    <n v="3"/>
    <s v="Redmi Note 10"/>
  </r>
  <r>
    <n v="921"/>
    <n v="29"/>
    <n v="6"/>
    <n v="2022"/>
    <s v="Wednesday"/>
    <x v="0"/>
    <n v="3"/>
    <n v="49810.12"/>
    <s v="Sachin Sheth"/>
    <n v="57"/>
    <x v="16"/>
    <s v="Cash"/>
    <n v="5"/>
    <s v="Redmi Note 10"/>
  </r>
  <r>
    <n v="922"/>
    <n v="30"/>
    <n v="6"/>
    <n v="2022"/>
    <s v="Thursday"/>
    <x v="2"/>
    <n v="2"/>
    <n v="30743.82"/>
    <s v="Manoj Jain"/>
    <n v="38"/>
    <x v="1"/>
    <s v="Debit Card"/>
    <n v="5"/>
    <s v="OnePlus Nord"/>
  </r>
  <r>
    <n v="923"/>
    <n v="30"/>
    <n v="6"/>
    <n v="2022"/>
    <s v="Thursday"/>
    <x v="3"/>
    <n v="3"/>
    <n v="20283.900000000001"/>
    <s v="Meena Roy"/>
    <n v="32"/>
    <x v="15"/>
    <s v="Cash"/>
    <n v="2"/>
    <s v="Galaxy S21"/>
  </r>
  <r>
    <n v="924"/>
    <n v="30"/>
    <n v="6"/>
    <n v="2022"/>
    <s v="Thursday"/>
    <x v="0"/>
    <n v="8"/>
    <n v="14738.84"/>
    <s v="Vinod Arora"/>
    <n v="20"/>
    <x v="1"/>
    <s v="Cash"/>
    <n v="2"/>
    <s v="Mi 11"/>
  </r>
  <r>
    <n v="925"/>
    <n v="1"/>
    <n v="7"/>
    <n v="2022"/>
    <s v="Friday"/>
    <x v="3"/>
    <n v="6"/>
    <n v="51597.85"/>
    <s v="Vinod Verma"/>
    <n v="19"/>
    <x v="10"/>
    <s v="Cash"/>
    <n v="5"/>
    <s v="Galaxy A51"/>
  </r>
  <r>
    <n v="926"/>
    <n v="1"/>
    <n v="7"/>
    <n v="2022"/>
    <s v="Friday"/>
    <x v="3"/>
    <n v="7"/>
    <n v="57083.4"/>
    <s v="Sunita Nair"/>
    <n v="58"/>
    <x v="2"/>
    <s v="Credit Card"/>
    <n v="3"/>
    <s v="Galaxy A51"/>
  </r>
  <r>
    <n v="927"/>
    <n v="1"/>
    <n v="7"/>
    <n v="2022"/>
    <s v="Friday"/>
    <x v="3"/>
    <n v="6"/>
    <n v="59587.22"/>
    <s v="Bina Nair"/>
    <n v="57"/>
    <x v="18"/>
    <s v="Debit Card"/>
    <n v="5"/>
    <s v="Galaxy S21"/>
  </r>
  <r>
    <n v="928"/>
    <n v="1"/>
    <n v="7"/>
    <n v="2022"/>
    <s v="Friday"/>
    <x v="4"/>
    <n v="6"/>
    <n v="64825.9"/>
    <s v="Pankaj Prasad"/>
    <n v="21"/>
    <x v="8"/>
    <s v="Debit Card"/>
    <n v="3"/>
    <s v="iPhone SE"/>
  </r>
  <r>
    <n v="929"/>
    <n v="2"/>
    <n v="7"/>
    <n v="2022"/>
    <s v="Saturday"/>
    <x v="3"/>
    <n v="3"/>
    <n v="62795.77"/>
    <s v="Jyoti Varma"/>
    <n v="49"/>
    <x v="1"/>
    <s v="Cash"/>
    <n v="5"/>
    <s v="Galaxy A51"/>
  </r>
  <r>
    <n v="930"/>
    <n v="2"/>
    <n v="7"/>
    <n v="2022"/>
    <s v="Saturday"/>
    <x v="4"/>
    <n v="8"/>
    <n v="69984.479999999996"/>
    <s v="Kunal Yadav"/>
    <n v="19"/>
    <x v="2"/>
    <s v="Credit Card"/>
    <n v="5"/>
    <s v="iPhone SE"/>
  </r>
  <r>
    <n v="931"/>
    <n v="2"/>
    <n v="7"/>
    <n v="2022"/>
    <s v="Saturday"/>
    <x v="2"/>
    <n v="7"/>
    <n v="24643.84"/>
    <s v="Pankaj Prasad"/>
    <n v="46"/>
    <x v="14"/>
    <s v="Cash"/>
    <n v="5"/>
    <s v="OnePlus 9"/>
  </r>
  <r>
    <n v="932"/>
    <n v="2"/>
    <n v="7"/>
    <n v="2022"/>
    <s v="Saturday"/>
    <x v="0"/>
    <n v="7"/>
    <n v="55798.46"/>
    <s v="Neeta Nair"/>
    <n v="19"/>
    <x v="14"/>
    <s v="Debit Card"/>
    <n v="2"/>
    <s v="Redmi 9"/>
  </r>
  <r>
    <n v="933"/>
    <n v="3"/>
    <n v="7"/>
    <n v="2022"/>
    <s v="Sunday"/>
    <x v="0"/>
    <n v="6"/>
    <n v="45187.57"/>
    <s v="Navin Patel"/>
    <n v="51"/>
    <x v="2"/>
    <s v="Debit Card"/>
    <n v="5"/>
    <s v="Redmi 9"/>
  </r>
  <r>
    <n v="934"/>
    <n v="3"/>
    <n v="7"/>
    <n v="2022"/>
    <s v="Sunday"/>
    <x v="0"/>
    <n v="5"/>
    <n v="25674.71"/>
    <s v="Sumit Malhotra"/>
    <n v="44"/>
    <x v="2"/>
    <s v="Debit Card"/>
    <n v="4"/>
    <s v="Mi 11"/>
  </r>
  <r>
    <n v="935"/>
    <n v="3"/>
    <n v="7"/>
    <n v="2022"/>
    <s v="Sunday"/>
    <x v="0"/>
    <n v="8"/>
    <n v="68914.320000000007"/>
    <s v="Navin Kapoor"/>
    <n v="56"/>
    <x v="1"/>
    <s v="Debit Card"/>
    <n v="5"/>
    <s v="Mi 11"/>
  </r>
  <r>
    <n v="936"/>
    <n v="3"/>
    <n v="7"/>
    <n v="2022"/>
    <s v="Sunday"/>
    <x v="0"/>
    <n v="5"/>
    <n v="63873.89"/>
    <s v="Namita Teja"/>
    <n v="55"/>
    <x v="8"/>
    <s v="Credit Card"/>
    <n v="5"/>
    <s v="Redmi 9"/>
  </r>
  <r>
    <n v="937"/>
    <n v="4"/>
    <n v="7"/>
    <n v="2022"/>
    <s v="Monday"/>
    <x v="0"/>
    <n v="9"/>
    <n v="17710.939999999999"/>
    <s v="Monika Chatterjee"/>
    <n v="35"/>
    <x v="0"/>
    <s v="UPI"/>
    <n v="4"/>
    <s v="Redmi Note 10"/>
  </r>
  <r>
    <n v="938"/>
    <n v="4"/>
    <n v="7"/>
    <n v="2022"/>
    <s v="Monday"/>
    <x v="0"/>
    <n v="9"/>
    <n v="11569.5"/>
    <s v="Monika Mehta"/>
    <n v="53"/>
    <x v="3"/>
    <s v="UPI"/>
    <n v="4"/>
    <s v="Redmi 9"/>
  </r>
  <r>
    <n v="939"/>
    <n v="4"/>
    <n v="7"/>
    <n v="2022"/>
    <s v="Monday"/>
    <x v="2"/>
    <n v="1"/>
    <n v="51299.85"/>
    <s v="Ayesha Kaur"/>
    <n v="36"/>
    <x v="14"/>
    <s v="Credit Card"/>
    <n v="5"/>
    <s v="OnePlus 9"/>
  </r>
  <r>
    <n v="940"/>
    <n v="5"/>
    <n v="7"/>
    <n v="2022"/>
    <s v="Tuesday"/>
    <x v="3"/>
    <n v="6"/>
    <n v="46247.839999999997"/>
    <s v="Vijay Malhotra"/>
    <n v="44"/>
    <x v="1"/>
    <s v="Cash"/>
    <n v="3"/>
    <s v="Galaxy Note 20"/>
  </r>
  <r>
    <n v="941"/>
    <n v="5"/>
    <n v="7"/>
    <n v="2022"/>
    <s v="Tuesday"/>
    <x v="1"/>
    <n v="7"/>
    <n v="66148.94"/>
    <s v="Sachin Shah"/>
    <n v="37"/>
    <x v="15"/>
    <s v="Debit Card"/>
    <n v="4"/>
    <s v="Vivo Y51"/>
  </r>
  <r>
    <n v="942"/>
    <n v="5"/>
    <n v="7"/>
    <n v="2022"/>
    <s v="Tuesday"/>
    <x v="4"/>
    <n v="3"/>
    <n v="24040.32"/>
    <s v="Ayesha Ahuja"/>
    <n v="38"/>
    <x v="1"/>
    <s v="Debit Card"/>
    <n v="5"/>
    <s v="iPhone SE"/>
  </r>
  <r>
    <n v="943"/>
    <n v="6"/>
    <n v="7"/>
    <n v="2022"/>
    <s v="Wednesday"/>
    <x v="1"/>
    <n v="7"/>
    <n v="15063.28"/>
    <s v="Ravi Reddy"/>
    <n v="40"/>
    <x v="1"/>
    <s v="Debit Card"/>
    <n v="4"/>
    <s v="Vivo V20"/>
  </r>
  <r>
    <n v="944"/>
    <n v="6"/>
    <n v="7"/>
    <n v="2022"/>
    <s v="Wednesday"/>
    <x v="1"/>
    <n v="7"/>
    <n v="25552.92"/>
    <s v="Pankaj Kapoor"/>
    <n v="47"/>
    <x v="1"/>
    <s v="Credit Card"/>
    <n v="5"/>
    <s v="Vivo V20"/>
  </r>
  <r>
    <n v="945"/>
    <n v="6"/>
    <n v="7"/>
    <n v="2022"/>
    <s v="Wednesday"/>
    <x v="3"/>
    <n v="2"/>
    <n v="11135.66"/>
    <s v="Lalita Kaur"/>
    <n v="42"/>
    <x v="11"/>
    <s v="Credit Card"/>
    <n v="5"/>
    <s v="Galaxy S21"/>
  </r>
  <r>
    <n v="946"/>
    <n v="6"/>
    <n v="7"/>
    <n v="2022"/>
    <s v="Wednesday"/>
    <x v="3"/>
    <n v="7"/>
    <n v="12153.57"/>
    <s v="Pankaj Alva"/>
    <n v="48"/>
    <x v="18"/>
    <s v="Debit Card"/>
    <n v="5"/>
    <s v="Galaxy A51"/>
  </r>
  <r>
    <n v="947"/>
    <n v="7"/>
    <n v="7"/>
    <n v="2022"/>
    <s v="Thursday"/>
    <x v="3"/>
    <n v="1"/>
    <n v="64891.47"/>
    <s v="Ayesha Bhattacharya"/>
    <n v="44"/>
    <x v="11"/>
    <s v="Debit Card"/>
    <n v="5"/>
    <s v="Galaxy S21"/>
  </r>
  <r>
    <n v="948"/>
    <n v="7"/>
    <n v="7"/>
    <n v="2022"/>
    <s v="Thursday"/>
    <x v="0"/>
    <n v="5"/>
    <n v="31120.99"/>
    <s v="Harish Kumar"/>
    <n v="51"/>
    <x v="15"/>
    <s v="Cash"/>
    <n v="5"/>
    <s v="Mi 11"/>
  </r>
  <r>
    <n v="949"/>
    <n v="7"/>
    <n v="7"/>
    <n v="2022"/>
    <s v="Thursday"/>
    <x v="2"/>
    <n v="9"/>
    <n v="34648.54"/>
    <s v="Yogesh Desai"/>
    <n v="25"/>
    <x v="1"/>
    <s v="UPI"/>
    <n v="3"/>
    <s v="OnePlus 9"/>
  </r>
  <r>
    <n v="950"/>
    <n v="7"/>
    <n v="7"/>
    <n v="2022"/>
    <s v="Thursday"/>
    <x v="0"/>
    <n v="7"/>
    <n v="11102.3"/>
    <s v="Shruti Dutta"/>
    <n v="36"/>
    <x v="2"/>
    <s v="Credit Card"/>
    <n v="5"/>
    <s v="Redmi Note 10"/>
  </r>
  <r>
    <n v="951"/>
    <n v="8"/>
    <n v="7"/>
    <n v="2022"/>
    <s v="Friday"/>
    <x v="2"/>
    <n v="7"/>
    <n v="26231.31"/>
    <s v="Neeta Malhotra"/>
    <n v="58"/>
    <x v="1"/>
    <s v="UPI"/>
    <n v="5"/>
    <s v="OnePlus Nord"/>
  </r>
  <r>
    <n v="952"/>
    <n v="8"/>
    <n v="7"/>
    <n v="2022"/>
    <s v="Friday"/>
    <x v="2"/>
    <n v="2"/>
    <n v="58283.56"/>
    <s v="Tanuja Solanki"/>
    <n v="43"/>
    <x v="14"/>
    <s v="Debit Card"/>
    <n v="5"/>
    <s v="OnePlus Nord"/>
  </r>
  <r>
    <n v="953"/>
    <n v="8"/>
    <n v="7"/>
    <n v="2022"/>
    <s v="Friday"/>
    <x v="1"/>
    <n v="8"/>
    <n v="46929.46"/>
    <s v="Namita Kumar"/>
    <n v="45"/>
    <x v="1"/>
    <s v="UPI"/>
    <n v="4"/>
    <s v="Vivo S1"/>
  </r>
  <r>
    <n v="954"/>
    <n v="8"/>
    <n v="7"/>
    <n v="2022"/>
    <s v="Friday"/>
    <x v="1"/>
    <n v="3"/>
    <n v="55226.84"/>
    <s v="Sumit Chatterjee"/>
    <n v="21"/>
    <x v="5"/>
    <s v="UPI"/>
    <n v="5"/>
    <s v="Vivo S1"/>
  </r>
  <r>
    <n v="955"/>
    <n v="9"/>
    <n v="7"/>
    <n v="2022"/>
    <s v="Saturday"/>
    <x v="2"/>
    <n v="8"/>
    <n v="36832.82"/>
    <s v="Ravi Jain"/>
    <n v="48"/>
    <x v="2"/>
    <s v="Credit Card"/>
    <n v="3"/>
    <s v="OnePlus Nord"/>
  </r>
  <r>
    <n v="956"/>
    <n v="9"/>
    <n v="7"/>
    <n v="2022"/>
    <s v="Saturday"/>
    <x v="2"/>
    <n v="3"/>
    <n v="28583.75"/>
    <s v="Rohan Pathak"/>
    <n v="33"/>
    <x v="6"/>
    <s v="Credit Card"/>
    <n v="2"/>
    <s v="OnePlus 9"/>
  </r>
  <r>
    <n v="957"/>
    <n v="9"/>
    <n v="7"/>
    <n v="2022"/>
    <s v="Saturday"/>
    <x v="0"/>
    <n v="7"/>
    <n v="38968.61"/>
    <s v="Rohan Rathod"/>
    <n v="27"/>
    <x v="17"/>
    <s v="Cash"/>
    <n v="4"/>
    <s v="Redmi Note 10"/>
  </r>
  <r>
    <n v="958"/>
    <n v="9"/>
    <n v="7"/>
    <n v="2022"/>
    <s v="Saturday"/>
    <x v="0"/>
    <n v="2"/>
    <n v="29384.26"/>
    <s v="Namita Goyal"/>
    <n v="55"/>
    <x v="5"/>
    <s v="Debit Card"/>
    <n v="3"/>
    <s v="Redmi 9"/>
  </r>
  <r>
    <n v="959"/>
    <n v="10"/>
    <n v="7"/>
    <n v="2022"/>
    <s v="Sunday"/>
    <x v="1"/>
    <n v="4"/>
    <n v="60338.27"/>
    <s v="Tanuja Bhatnagar"/>
    <n v="27"/>
    <x v="15"/>
    <s v="Cash"/>
    <n v="5"/>
    <s v="Vivo S1"/>
  </r>
  <r>
    <n v="960"/>
    <n v="10"/>
    <n v="7"/>
    <n v="2022"/>
    <s v="Sunday"/>
    <x v="3"/>
    <n v="6"/>
    <n v="27860.42"/>
    <s v="Rajesh Kapoor"/>
    <n v="26"/>
    <x v="2"/>
    <s v="Credit Card"/>
    <n v="3"/>
    <s v="Galaxy S21"/>
  </r>
  <r>
    <n v="961"/>
    <n v="10"/>
    <n v="7"/>
    <n v="2022"/>
    <s v="Sunday"/>
    <x v="2"/>
    <n v="9"/>
    <n v="49585.82"/>
    <s v="Lalita Desai"/>
    <n v="56"/>
    <x v="8"/>
    <s v="Cash"/>
    <n v="2"/>
    <s v="OnePlus Nord"/>
  </r>
  <r>
    <n v="962"/>
    <n v="11"/>
    <n v="7"/>
    <n v="2022"/>
    <s v="Monday"/>
    <x v="0"/>
    <n v="5"/>
    <n v="18218.93"/>
    <s v="Ramesh Verma"/>
    <n v="53"/>
    <x v="17"/>
    <s v="UPI"/>
    <n v="3"/>
    <s v="Mi 11"/>
  </r>
  <r>
    <n v="963"/>
    <n v="11"/>
    <n v="7"/>
    <n v="2022"/>
    <s v="Monday"/>
    <x v="1"/>
    <n v="9"/>
    <n v="51211.99"/>
    <s v="Sanjay Roy"/>
    <n v="53"/>
    <x v="3"/>
    <s v="UPI"/>
    <n v="2"/>
    <s v="Vivo V20"/>
  </r>
  <r>
    <n v="964"/>
    <n v="11"/>
    <n v="7"/>
    <n v="2022"/>
    <s v="Monday"/>
    <x v="0"/>
    <n v="5"/>
    <n v="64797.98"/>
    <s v="Krishna Mehta"/>
    <n v="36"/>
    <x v="14"/>
    <s v="Credit Card"/>
    <n v="2"/>
    <s v="Mi 11"/>
  </r>
  <r>
    <n v="965"/>
    <n v="11"/>
    <n v="7"/>
    <n v="2022"/>
    <s v="Monday"/>
    <x v="2"/>
    <n v="8"/>
    <n v="46514.99"/>
    <s v="Vinod Chatterjee"/>
    <n v="36"/>
    <x v="6"/>
    <s v="UPI"/>
    <n v="2"/>
    <s v="OnePlus 9"/>
  </r>
  <r>
    <n v="966"/>
    <n v="12"/>
    <n v="7"/>
    <n v="2022"/>
    <s v="Tuesday"/>
    <x v="2"/>
    <n v="1"/>
    <n v="43591.32"/>
    <s v="Kiran Jain"/>
    <n v="29"/>
    <x v="11"/>
    <s v="Debit Card"/>
    <n v="3"/>
    <s v="OnePlus 9"/>
  </r>
  <r>
    <n v="967"/>
    <n v="12"/>
    <n v="7"/>
    <n v="2022"/>
    <s v="Tuesday"/>
    <x v="4"/>
    <n v="7"/>
    <n v="67667.100000000006"/>
    <s v="Anita Sharma"/>
    <n v="30"/>
    <x v="6"/>
    <s v="Credit Card"/>
    <n v="5"/>
    <s v="iPhone 12"/>
  </r>
  <r>
    <n v="968"/>
    <n v="12"/>
    <n v="7"/>
    <n v="2022"/>
    <s v="Tuesday"/>
    <x v="3"/>
    <n v="4"/>
    <n v="47643.79"/>
    <s v="Radha Ghosh"/>
    <n v="42"/>
    <x v="2"/>
    <s v="Debit Card"/>
    <n v="5"/>
    <s v="Galaxy S21"/>
  </r>
  <r>
    <n v="969"/>
    <n v="13"/>
    <n v="7"/>
    <n v="2022"/>
    <s v="Wednesday"/>
    <x v="4"/>
    <n v="5"/>
    <n v="25573.03"/>
    <s v="Namita Kumar"/>
    <n v="53"/>
    <x v="14"/>
    <s v="Credit Card"/>
    <n v="5"/>
    <s v="iPhone 12"/>
  </r>
  <r>
    <n v="970"/>
    <n v="13"/>
    <n v="7"/>
    <n v="2022"/>
    <s v="Wednesday"/>
    <x v="1"/>
    <n v="6"/>
    <n v="27543.46"/>
    <s v="Navin Pathak"/>
    <n v="42"/>
    <x v="1"/>
    <s v="Credit Card"/>
    <n v="3"/>
    <s v="Vivo V20"/>
  </r>
  <r>
    <n v="971"/>
    <n v="13"/>
    <n v="7"/>
    <n v="2022"/>
    <s v="Wednesday"/>
    <x v="0"/>
    <n v="5"/>
    <n v="52318.400000000001"/>
    <s v="Ramesh Yadav"/>
    <n v="45"/>
    <x v="2"/>
    <s v="UPI"/>
    <n v="5"/>
    <s v="Redmi Note 10"/>
  </r>
  <r>
    <n v="972"/>
    <n v="13"/>
    <n v="7"/>
    <n v="2022"/>
    <s v="Wednesday"/>
    <x v="1"/>
    <n v="1"/>
    <n v="54126.2"/>
    <s v="Devendra Thakur"/>
    <n v="59"/>
    <x v="0"/>
    <s v="Credit Card"/>
    <n v="5"/>
    <s v="Vivo S1"/>
  </r>
  <r>
    <n v="973"/>
    <n v="14"/>
    <n v="7"/>
    <n v="2022"/>
    <s v="Thursday"/>
    <x v="2"/>
    <n v="9"/>
    <n v="28209.77"/>
    <s v="Bhavana Sheth"/>
    <n v="56"/>
    <x v="1"/>
    <s v="Credit Card"/>
    <n v="2"/>
    <s v="OnePlus Nord"/>
  </r>
  <r>
    <n v="974"/>
    <n v="14"/>
    <n v="7"/>
    <n v="2022"/>
    <s v="Thursday"/>
    <x v="4"/>
    <n v="2"/>
    <n v="30720.639999999999"/>
    <s v="Yogesh Reddy"/>
    <n v="47"/>
    <x v="7"/>
    <s v="Cash"/>
    <n v="3"/>
    <s v="iPhone SE"/>
  </r>
  <r>
    <n v="975"/>
    <n v="14"/>
    <n v="7"/>
    <n v="2022"/>
    <s v="Thursday"/>
    <x v="4"/>
    <n v="9"/>
    <n v="69463.39"/>
    <s v="Kavita Iyer"/>
    <n v="22"/>
    <x v="1"/>
    <s v="UPI"/>
    <n v="3"/>
    <s v="iPhone 11"/>
  </r>
  <r>
    <n v="976"/>
    <n v="15"/>
    <n v="7"/>
    <n v="2022"/>
    <s v="Friday"/>
    <x v="4"/>
    <n v="2"/>
    <n v="16117.15"/>
    <s v="Sunil Rawat"/>
    <n v="34"/>
    <x v="17"/>
    <s v="Debit Card"/>
    <n v="4"/>
    <s v="iPhone 12"/>
  </r>
  <r>
    <n v="977"/>
    <n v="15"/>
    <n v="7"/>
    <n v="2022"/>
    <s v="Friday"/>
    <x v="1"/>
    <n v="9"/>
    <n v="34278.699999999997"/>
    <s v="Arun Rawat"/>
    <n v="35"/>
    <x v="17"/>
    <s v="Credit Card"/>
    <n v="4"/>
    <s v="Vivo S1"/>
  </r>
  <r>
    <n v="978"/>
    <n v="15"/>
    <n v="7"/>
    <n v="2022"/>
    <s v="Friday"/>
    <x v="2"/>
    <n v="6"/>
    <n v="13746.85"/>
    <s v="Tanuja Ahuja"/>
    <n v="38"/>
    <x v="3"/>
    <s v="Debit Card"/>
    <n v="4"/>
    <s v="OnePlus Nord"/>
  </r>
  <r>
    <n v="979"/>
    <n v="15"/>
    <n v="7"/>
    <n v="2022"/>
    <s v="Friday"/>
    <x v="0"/>
    <n v="9"/>
    <n v="59264.7"/>
    <s v="Anand Mehta"/>
    <n v="39"/>
    <x v="12"/>
    <s v="Cash"/>
    <n v="5"/>
    <s v="Redmi 9"/>
  </r>
  <r>
    <n v="980"/>
    <n v="16"/>
    <n v="7"/>
    <n v="2022"/>
    <s v="Saturday"/>
    <x v="0"/>
    <n v="6"/>
    <n v="15540.75"/>
    <s v="Bhavana Mishra"/>
    <n v="56"/>
    <x v="5"/>
    <s v="Credit Card"/>
    <n v="3"/>
    <s v="Redmi Note 10"/>
  </r>
  <r>
    <n v="981"/>
    <n v="16"/>
    <n v="7"/>
    <n v="2022"/>
    <s v="Saturday"/>
    <x v="1"/>
    <n v="6"/>
    <n v="50440.44"/>
    <s v="Harish Pillai"/>
    <n v="23"/>
    <x v="1"/>
    <s v="Debit Card"/>
    <n v="4"/>
    <s v="Vivo V20"/>
  </r>
  <r>
    <n v="982"/>
    <n v="16"/>
    <n v="7"/>
    <n v="2022"/>
    <s v="Saturday"/>
    <x v="4"/>
    <n v="2"/>
    <n v="13389.01"/>
    <s v="Radha Sheth"/>
    <n v="33"/>
    <x v="5"/>
    <s v="UPI"/>
    <n v="3"/>
    <s v="iPhone 11"/>
  </r>
  <r>
    <n v="983"/>
    <n v="16"/>
    <n v="7"/>
    <n v="2022"/>
    <s v="Saturday"/>
    <x v="3"/>
    <n v="8"/>
    <n v="50371.3"/>
    <s v="Rajesh Arora"/>
    <n v="19"/>
    <x v="2"/>
    <s v="Cash"/>
    <n v="5"/>
    <s v="Galaxy Note 20"/>
  </r>
  <r>
    <n v="984"/>
    <n v="17"/>
    <n v="7"/>
    <n v="2022"/>
    <s v="Sunday"/>
    <x v="1"/>
    <n v="3"/>
    <n v="60582.22"/>
    <s v="Meena Kumar"/>
    <n v="18"/>
    <x v="2"/>
    <s v="Cash"/>
    <n v="4"/>
    <s v="Vivo V20"/>
  </r>
  <r>
    <n v="985"/>
    <n v="17"/>
    <n v="7"/>
    <n v="2022"/>
    <s v="Sunday"/>
    <x v="1"/>
    <n v="7"/>
    <n v="33929.29"/>
    <s v="Vivek Teja"/>
    <n v="47"/>
    <x v="1"/>
    <s v="Debit Card"/>
    <n v="3"/>
    <s v="Vivo Y51"/>
  </r>
  <r>
    <n v="986"/>
    <n v="17"/>
    <n v="7"/>
    <n v="2022"/>
    <s v="Sunday"/>
    <x v="2"/>
    <n v="5"/>
    <n v="41327.589999999997"/>
    <s v="Devendra Yadav"/>
    <n v="54"/>
    <x v="15"/>
    <s v="Credit Card"/>
    <n v="5"/>
    <s v="OnePlus Nord"/>
  </r>
  <r>
    <n v="987"/>
    <n v="17"/>
    <n v="7"/>
    <n v="2022"/>
    <s v="Sunday"/>
    <x v="0"/>
    <n v="3"/>
    <n v="34092.5"/>
    <s v="Bhavana Rathod"/>
    <n v="40"/>
    <x v="1"/>
    <s v="Credit Card"/>
    <n v="5"/>
    <s v="Mi 11"/>
  </r>
  <r>
    <n v="988"/>
    <n v="18"/>
    <n v="7"/>
    <n v="2022"/>
    <s v="Monday"/>
    <x v="1"/>
    <n v="1"/>
    <n v="28029.33"/>
    <s v="Lata Goyal"/>
    <n v="18"/>
    <x v="11"/>
    <s v="UPI"/>
    <n v="5"/>
    <s v="Vivo S1"/>
  </r>
  <r>
    <n v="989"/>
    <n v="18"/>
    <n v="7"/>
    <n v="2022"/>
    <s v="Monday"/>
    <x v="1"/>
    <n v="8"/>
    <n v="58195.8"/>
    <s v="Isha Luthra"/>
    <n v="36"/>
    <x v="16"/>
    <s v="UPI"/>
    <n v="4"/>
    <s v="Vivo Y51"/>
  </r>
  <r>
    <n v="990"/>
    <n v="18"/>
    <n v="7"/>
    <n v="2022"/>
    <s v="Monday"/>
    <x v="4"/>
    <n v="3"/>
    <n v="26320.15"/>
    <s v="Neeta Pillai"/>
    <n v="20"/>
    <x v="4"/>
    <s v="Credit Card"/>
    <n v="5"/>
    <s v="iPhone SE"/>
  </r>
  <r>
    <n v="991"/>
    <n v="18"/>
    <n v="7"/>
    <n v="2022"/>
    <s v="Monday"/>
    <x v="4"/>
    <n v="2"/>
    <n v="53376.61"/>
    <s v="Lalita Sheth"/>
    <n v="19"/>
    <x v="8"/>
    <s v="Cash"/>
    <n v="5"/>
    <s v="iPhone 11"/>
  </r>
  <r>
    <n v="992"/>
    <n v="19"/>
    <n v="7"/>
    <n v="2022"/>
    <s v="Tuesday"/>
    <x v="3"/>
    <n v="1"/>
    <n v="22371.82"/>
    <s v="Prashant Verma"/>
    <n v="54"/>
    <x v="1"/>
    <s v="UPI"/>
    <n v="5"/>
    <s v="Galaxy Note 20"/>
  </r>
  <r>
    <n v="993"/>
    <n v="19"/>
    <n v="7"/>
    <n v="2022"/>
    <s v="Tuesday"/>
    <x v="2"/>
    <n v="4"/>
    <n v="24991.23"/>
    <s v="Prashant Sharma"/>
    <n v="34"/>
    <x v="2"/>
    <s v="UPI"/>
    <n v="3"/>
    <s v="OnePlus 9"/>
  </r>
  <r>
    <n v="994"/>
    <n v="19"/>
    <n v="7"/>
    <n v="2022"/>
    <s v="Tuesday"/>
    <x v="3"/>
    <n v="8"/>
    <n v="30187.67"/>
    <s v="Nikhil Arora"/>
    <n v="45"/>
    <x v="2"/>
    <s v="Cash"/>
    <n v="5"/>
    <s v="Galaxy S21"/>
  </r>
  <r>
    <n v="995"/>
    <n v="20"/>
    <n v="7"/>
    <n v="2022"/>
    <s v="Wednesday"/>
    <x v="4"/>
    <n v="3"/>
    <n v="45349.38"/>
    <s v="Prashant Arora"/>
    <n v="35"/>
    <x v="4"/>
    <s v="Credit Card"/>
    <n v="4"/>
    <s v="iPhone SE"/>
  </r>
  <r>
    <n v="996"/>
    <n v="20"/>
    <n v="7"/>
    <n v="2022"/>
    <s v="Wednesday"/>
    <x v="0"/>
    <n v="1"/>
    <n v="37265.339999999997"/>
    <s v="Kiran Pathak"/>
    <n v="50"/>
    <x v="2"/>
    <s v="Debit Card"/>
    <n v="3"/>
    <s v="Redmi Note 10"/>
  </r>
  <r>
    <n v="997"/>
    <n v="20"/>
    <n v="7"/>
    <n v="2022"/>
    <s v="Wednesday"/>
    <x v="4"/>
    <n v="4"/>
    <n v="54708.69"/>
    <s v="Ravi Jain"/>
    <n v="32"/>
    <x v="11"/>
    <s v="UPI"/>
    <n v="3"/>
    <s v="iPhone SE"/>
  </r>
  <r>
    <n v="998"/>
    <n v="20"/>
    <n v="7"/>
    <n v="2022"/>
    <s v="Wednesday"/>
    <x v="2"/>
    <n v="9"/>
    <n v="22814.04"/>
    <s v="Yogesh Luthra"/>
    <n v="39"/>
    <x v="2"/>
    <s v="Cash"/>
    <n v="5"/>
    <s v="OnePlus 9"/>
  </r>
  <r>
    <n v="999"/>
    <n v="21"/>
    <n v="7"/>
    <n v="2022"/>
    <s v="Thursday"/>
    <x v="4"/>
    <n v="1"/>
    <n v="10640.34"/>
    <s v="Arun Iyer"/>
    <n v="58"/>
    <x v="17"/>
    <s v="UPI"/>
    <n v="3"/>
    <s v="iPhone 12"/>
  </r>
  <r>
    <n v="1000"/>
    <n v="21"/>
    <n v="7"/>
    <n v="2022"/>
    <s v="Thursday"/>
    <x v="2"/>
    <n v="2"/>
    <n v="56593.45"/>
    <s v="Anand Kapoor"/>
    <n v="44"/>
    <x v="2"/>
    <s v="Cash"/>
    <n v="3"/>
    <s v="OnePlus Nord"/>
  </r>
  <r>
    <n v="1001"/>
    <n v="21"/>
    <n v="7"/>
    <n v="2022"/>
    <s v="Thursday"/>
    <x v="2"/>
    <n v="9"/>
    <n v="59298.96"/>
    <s v="Lata Alva"/>
    <n v="54"/>
    <x v="16"/>
    <s v="UPI"/>
    <n v="5"/>
    <s v="OnePlus 8T"/>
  </r>
  <r>
    <n v="1002"/>
    <n v="22"/>
    <n v="7"/>
    <n v="2022"/>
    <s v="Friday"/>
    <x v="2"/>
    <n v="2"/>
    <n v="13568.81"/>
    <s v="Arun Siddiqui"/>
    <n v="49"/>
    <x v="2"/>
    <s v="Credit Card"/>
    <n v="4"/>
    <s v="OnePlus Nord"/>
  </r>
  <r>
    <n v="1003"/>
    <n v="22"/>
    <n v="7"/>
    <n v="2022"/>
    <s v="Friday"/>
    <x v="2"/>
    <n v="3"/>
    <n v="46654.45"/>
    <s v="Bhavana Mehta"/>
    <n v="36"/>
    <x v="18"/>
    <s v="Cash"/>
    <n v="5"/>
    <s v="OnePlus Nord"/>
  </r>
  <r>
    <n v="1004"/>
    <n v="22"/>
    <n v="7"/>
    <n v="2022"/>
    <s v="Friday"/>
    <x v="2"/>
    <n v="7"/>
    <n v="32692.41"/>
    <s v="Krishna Patel"/>
    <n v="45"/>
    <x v="1"/>
    <s v="Debit Card"/>
    <n v="5"/>
    <s v="OnePlus Nord"/>
  </r>
  <r>
    <n v="1005"/>
    <n v="23"/>
    <n v="7"/>
    <n v="2022"/>
    <s v="Saturday"/>
    <x v="0"/>
    <n v="3"/>
    <n v="57633.74"/>
    <s v="Ramesh Shah"/>
    <n v="45"/>
    <x v="5"/>
    <s v="Debit Card"/>
    <n v="5"/>
    <s v="Redmi Note 10"/>
  </r>
  <r>
    <n v="1006"/>
    <n v="23"/>
    <n v="7"/>
    <n v="2022"/>
    <s v="Saturday"/>
    <x v="3"/>
    <n v="9"/>
    <n v="62464.87"/>
    <s v="Yogesh Malhotra"/>
    <n v="27"/>
    <x v="7"/>
    <s v="UPI"/>
    <n v="5"/>
    <s v="Galaxy S21"/>
  </r>
  <r>
    <n v="1007"/>
    <n v="23"/>
    <n v="7"/>
    <n v="2022"/>
    <s v="Saturday"/>
    <x v="1"/>
    <n v="6"/>
    <n v="61060.23"/>
    <s v="Priyanka Dutta"/>
    <n v="37"/>
    <x v="4"/>
    <s v="Debit Card"/>
    <n v="5"/>
    <s v="Vivo V20"/>
  </r>
  <r>
    <n v="1008"/>
    <n v="24"/>
    <n v="7"/>
    <n v="2022"/>
    <s v="Sunday"/>
    <x v="3"/>
    <n v="3"/>
    <n v="56632.25"/>
    <s v="Manoj Dutta"/>
    <n v="42"/>
    <x v="14"/>
    <s v="UPI"/>
    <n v="5"/>
    <s v="Galaxy A51"/>
  </r>
  <r>
    <n v="1009"/>
    <n v="24"/>
    <n v="7"/>
    <n v="2022"/>
    <s v="Sunday"/>
    <x v="2"/>
    <n v="9"/>
    <n v="26143.13"/>
    <s v="Vijay Rawat"/>
    <n v="38"/>
    <x v="13"/>
    <s v="Cash"/>
    <n v="5"/>
    <s v="OnePlus 8T"/>
  </r>
  <r>
    <n v="1010"/>
    <n v="24"/>
    <n v="7"/>
    <n v="2022"/>
    <s v="Sunday"/>
    <x v="0"/>
    <n v="1"/>
    <n v="58713.38"/>
    <s v="Umesh Menon"/>
    <n v="31"/>
    <x v="1"/>
    <s v="Cash"/>
    <n v="4"/>
    <s v="Mi 11"/>
  </r>
  <r>
    <n v="1011"/>
    <n v="25"/>
    <n v="7"/>
    <n v="2022"/>
    <s v="Monday"/>
    <x v="4"/>
    <n v="3"/>
    <n v="42008.71"/>
    <s v="Vinod Prasad"/>
    <n v="39"/>
    <x v="13"/>
    <s v="Debit Card"/>
    <n v="5"/>
    <s v="iPhone SE"/>
  </r>
  <r>
    <n v="1012"/>
    <n v="25"/>
    <n v="7"/>
    <n v="2022"/>
    <s v="Monday"/>
    <x v="0"/>
    <n v="1"/>
    <n v="13165.4"/>
    <s v="Harish Prasad"/>
    <n v="43"/>
    <x v="12"/>
    <s v="Debit Card"/>
    <n v="5"/>
    <s v="Redmi 9"/>
  </r>
  <r>
    <n v="1013"/>
    <n v="25"/>
    <n v="7"/>
    <n v="2022"/>
    <s v="Monday"/>
    <x v="2"/>
    <n v="2"/>
    <n v="37416.33"/>
    <s v="Bina Siddiqui"/>
    <n v="28"/>
    <x v="1"/>
    <s v="Credit Card"/>
    <n v="5"/>
    <s v="OnePlus 8T"/>
  </r>
  <r>
    <n v="1014"/>
    <n v="25"/>
    <n v="7"/>
    <n v="2022"/>
    <s v="Monday"/>
    <x v="0"/>
    <n v="8"/>
    <n v="66529.48"/>
    <s v="Prashant Chatterjee"/>
    <n v="24"/>
    <x v="14"/>
    <s v="Cash"/>
    <n v="5"/>
    <s v="Redmi Note 10"/>
  </r>
  <r>
    <n v="1015"/>
    <n v="26"/>
    <n v="7"/>
    <n v="2022"/>
    <s v="Tuesday"/>
    <x v="0"/>
    <n v="7"/>
    <n v="63271.56"/>
    <s v="Amit Rathod"/>
    <n v="34"/>
    <x v="18"/>
    <s v="Debit Card"/>
    <n v="5"/>
    <s v="Redmi 9"/>
  </r>
  <r>
    <n v="1016"/>
    <n v="26"/>
    <n v="7"/>
    <n v="2022"/>
    <s v="Tuesday"/>
    <x v="2"/>
    <n v="2"/>
    <n v="16135.86"/>
    <s v="Arun Shah"/>
    <n v="35"/>
    <x v="2"/>
    <s v="Debit Card"/>
    <n v="5"/>
    <s v="OnePlus 8T"/>
  </r>
  <r>
    <n v="1017"/>
    <n v="26"/>
    <n v="7"/>
    <n v="2022"/>
    <s v="Tuesday"/>
    <x v="0"/>
    <n v="2"/>
    <n v="54647.6"/>
    <s v="Umesh Kulkarni"/>
    <n v="24"/>
    <x v="11"/>
    <s v="Debit Card"/>
    <n v="3"/>
    <s v="Mi 11"/>
  </r>
  <r>
    <n v="1018"/>
    <n v="27"/>
    <n v="7"/>
    <n v="2022"/>
    <s v="Wednesday"/>
    <x v="1"/>
    <n v="9"/>
    <n v="58347.57"/>
    <s v="Bhavana Prasad"/>
    <n v="37"/>
    <x v="15"/>
    <s v="UPI"/>
    <n v="3"/>
    <s v="Vivo Y51"/>
  </r>
  <r>
    <n v="1019"/>
    <n v="27"/>
    <n v="7"/>
    <n v="2022"/>
    <s v="Wednesday"/>
    <x v="1"/>
    <n v="6"/>
    <n v="26283.29"/>
    <s v="Nikhil Rathod"/>
    <n v="55"/>
    <x v="0"/>
    <s v="Credit Card"/>
    <n v="3"/>
    <s v="Vivo V20"/>
  </r>
  <r>
    <n v="1020"/>
    <n v="27"/>
    <n v="7"/>
    <n v="2022"/>
    <s v="Wednesday"/>
    <x v="0"/>
    <n v="5"/>
    <n v="38296.51"/>
    <s v="Anjali Srivastava"/>
    <n v="28"/>
    <x v="2"/>
    <s v="Cash"/>
    <n v="3"/>
    <s v="Mi 11"/>
  </r>
  <r>
    <n v="1021"/>
    <n v="28"/>
    <n v="7"/>
    <n v="2022"/>
    <s v="Thursday"/>
    <x v="4"/>
    <n v="6"/>
    <n v="52659.28"/>
    <s v="Anita Kulkarni"/>
    <n v="33"/>
    <x v="14"/>
    <s v="Debit Card"/>
    <n v="5"/>
    <s v="iPhone 11"/>
  </r>
  <r>
    <n v="1022"/>
    <n v="28"/>
    <n v="7"/>
    <n v="2022"/>
    <s v="Thursday"/>
    <x v="2"/>
    <n v="9"/>
    <n v="36342.49"/>
    <s v="Sumit Rathod"/>
    <n v="44"/>
    <x v="3"/>
    <s v="Debit Card"/>
    <n v="3"/>
    <s v="OnePlus 8T"/>
  </r>
  <r>
    <n v="1023"/>
    <n v="28"/>
    <n v="7"/>
    <n v="2022"/>
    <s v="Thursday"/>
    <x v="1"/>
    <n v="7"/>
    <n v="16767.82"/>
    <s v="Monika Rawat"/>
    <n v="28"/>
    <x v="1"/>
    <s v="Debit Card"/>
    <n v="5"/>
    <s v="Vivo S1"/>
  </r>
  <r>
    <n v="1024"/>
    <n v="29"/>
    <n v="7"/>
    <n v="2022"/>
    <s v="Friday"/>
    <x v="4"/>
    <n v="9"/>
    <n v="52352.95"/>
    <s v="Sumit Ghosh"/>
    <n v="33"/>
    <x v="15"/>
    <s v="UPI"/>
    <n v="4"/>
    <s v="iPhone SE"/>
  </r>
  <r>
    <n v="1025"/>
    <n v="29"/>
    <n v="7"/>
    <n v="2022"/>
    <s v="Friday"/>
    <x v="0"/>
    <n v="4"/>
    <n v="64698.32"/>
    <s v="Anita Menon"/>
    <n v="40"/>
    <x v="15"/>
    <s v="Cash"/>
    <n v="3"/>
    <s v="Redmi 9"/>
  </r>
  <r>
    <n v="1026"/>
    <n v="29"/>
    <n v="7"/>
    <n v="2022"/>
    <s v="Friday"/>
    <x v="4"/>
    <n v="2"/>
    <n v="49149.08"/>
    <s v="Bhavana Yadav"/>
    <n v="29"/>
    <x v="2"/>
    <s v="Debit Card"/>
    <n v="5"/>
    <s v="iPhone 11"/>
  </r>
  <r>
    <n v="1027"/>
    <n v="29"/>
    <n v="7"/>
    <n v="2022"/>
    <s v="Friday"/>
    <x v="3"/>
    <n v="8"/>
    <n v="56428.04"/>
    <s v="Umesh Kaur"/>
    <n v="57"/>
    <x v="1"/>
    <s v="Debit Card"/>
    <n v="4"/>
    <s v="Galaxy Note 20"/>
  </r>
  <r>
    <n v="1028"/>
    <n v="30"/>
    <n v="7"/>
    <n v="2022"/>
    <s v="Saturday"/>
    <x v="1"/>
    <n v="4"/>
    <n v="31501.75"/>
    <s v="Krishna Iyer"/>
    <n v="20"/>
    <x v="17"/>
    <s v="UPI"/>
    <n v="5"/>
    <s v="Vivo V20"/>
  </r>
  <r>
    <n v="1029"/>
    <n v="30"/>
    <n v="7"/>
    <n v="2022"/>
    <s v="Saturday"/>
    <x v="0"/>
    <n v="9"/>
    <n v="20991.89"/>
    <s v="Lalita Rao"/>
    <n v="19"/>
    <x v="12"/>
    <s v="UPI"/>
    <n v="4"/>
    <s v="Mi 11"/>
  </r>
  <r>
    <n v="1030"/>
    <n v="30"/>
    <n v="7"/>
    <n v="2022"/>
    <s v="Saturday"/>
    <x v="2"/>
    <n v="4"/>
    <n v="48566.42"/>
    <s v="Kavita Kumar"/>
    <n v="55"/>
    <x v="1"/>
    <s v="Credit Card"/>
    <n v="4"/>
    <s v="OnePlus 9"/>
  </r>
  <r>
    <n v="1031"/>
    <n v="30"/>
    <n v="7"/>
    <n v="2022"/>
    <s v="Saturday"/>
    <x v="0"/>
    <n v="8"/>
    <n v="29666.27"/>
    <s v="Neeta Singh"/>
    <n v="41"/>
    <x v="11"/>
    <s v="Credit Card"/>
    <n v="5"/>
    <s v="Mi 11"/>
  </r>
  <r>
    <n v="1032"/>
    <n v="31"/>
    <n v="7"/>
    <n v="2022"/>
    <s v="Sunday"/>
    <x v="2"/>
    <n v="9"/>
    <n v="61604.41"/>
    <s v="Namita Siddiqui"/>
    <n v="46"/>
    <x v="15"/>
    <s v="Cash"/>
    <n v="3"/>
    <s v="OnePlus 9"/>
  </r>
  <r>
    <n v="1033"/>
    <n v="31"/>
    <n v="7"/>
    <n v="2022"/>
    <s v="Sunday"/>
    <x v="0"/>
    <n v="9"/>
    <n v="17357.68"/>
    <s v="Anand Bhattacharya"/>
    <n v="51"/>
    <x v="12"/>
    <s v="Credit Card"/>
    <n v="5"/>
    <s v="Redmi 9"/>
  </r>
  <r>
    <n v="1034"/>
    <n v="31"/>
    <n v="7"/>
    <n v="2022"/>
    <s v="Sunday"/>
    <x v="4"/>
    <n v="4"/>
    <n v="36007.82"/>
    <s v="Kavita Bhatnagar"/>
    <n v="37"/>
    <x v="1"/>
    <s v="Cash"/>
    <n v="5"/>
    <s v="iPhone 11"/>
  </r>
  <r>
    <n v="1035"/>
    <n v="31"/>
    <n v="7"/>
    <n v="2022"/>
    <s v="Sunday"/>
    <x v="4"/>
    <n v="1"/>
    <n v="33803.660000000003"/>
    <s v="Arun Prasad"/>
    <n v="35"/>
    <x v="17"/>
    <s v="Credit Card"/>
    <n v="5"/>
    <s v="iPhone 12"/>
  </r>
  <r>
    <n v="1036"/>
    <n v="1"/>
    <n v="8"/>
    <n v="2022"/>
    <s v="Monday"/>
    <x v="4"/>
    <n v="3"/>
    <n v="66283.23"/>
    <s v="Kiran Rathod"/>
    <n v="31"/>
    <x v="1"/>
    <s v="Debit Card"/>
    <n v="5"/>
    <s v="iPhone SE"/>
  </r>
  <r>
    <n v="1037"/>
    <n v="1"/>
    <n v="8"/>
    <n v="2022"/>
    <s v="Monday"/>
    <x v="3"/>
    <n v="9"/>
    <n v="19188.09"/>
    <s v="Bina Teja"/>
    <n v="35"/>
    <x v="4"/>
    <s v="Credit Card"/>
    <n v="5"/>
    <s v="Galaxy A51"/>
  </r>
  <r>
    <n v="1038"/>
    <n v="1"/>
    <n v="8"/>
    <n v="2022"/>
    <s v="Monday"/>
    <x v="2"/>
    <n v="4"/>
    <n v="10590.81"/>
    <s v="Devendra Mathur"/>
    <n v="19"/>
    <x v="10"/>
    <s v="Debit Card"/>
    <n v="4"/>
    <s v="OnePlus 8T"/>
  </r>
  <r>
    <n v="1039"/>
    <n v="1"/>
    <n v="8"/>
    <n v="2022"/>
    <s v="Monday"/>
    <x v="4"/>
    <n v="5"/>
    <n v="24285.11"/>
    <s v="Lalita Alva"/>
    <n v="18"/>
    <x v="14"/>
    <s v="Cash"/>
    <n v="3"/>
    <s v="iPhone 12"/>
  </r>
  <r>
    <n v="1040"/>
    <n v="2"/>
    <n v="8"/>
    <n v="2022"/>
    <s v="Tuesday"/>
    <x v="3"/>
    <n v="7"/>
    <n v="59216.61"/>
    <s v="Tanuja Reddy"/>
    <n v="37"/>
    <x v="1"/>
    <s v="Credit Card"/>
    <n v="3"/>
    <s v="Galaxy S21"/>
  </r>
  <r>
    <n v="1041"/>
    <n v="2"/>
    <n v="8"/>
    <n v="2022"/>
    <s v="Tuesday"/>
    <x v="2"/>
    <n v="5"/>
    <n v="22559.31"/>
    <s v="Prashant Sharma"/>
    <n v="51"/>
    <x v="1"/>
    <s v="Credit Card"/>
    <n v="5"/>
    <s v="OnePlus 9"/>
  </r>
  <r>
    <n v="1042"/>
    <n v="2"/>
    <n v="8"/>
    <n v="2022"/>
    <s v="Tuesday"/>
    <x v="0"/>
    <n v="4"/>
    <n v="24452.68"/>
    <s v="Rajesh Prasad"/>
    <n v="58"/>
    <x v="2"/>
    <s v="Credit Card"/>
    <n v="5"/>
    <s v="Redmi 9"/>
  </r>
  <r>
    <n v="1043"/>
    <n v="3"/>
    <n v="8"/>
    <n v="2022"/>
    <s v="Wednesday"/>
    <x v="3"/>
    <n v="2"/>
    <n v="17793.93"/>
    <s v="Jyoti Rawat"/>
    <n v="58"/>
    <x v="1"/>
    <s v="Debit Card"/>
    <n v="5"/>
    <s v="Galaxy S21"/>
  </r>
  <r>
    <n v="1044"/>
    <n v="3"/>
    <n v="8"/>
    <n v="2022"/>
    <s v="Wednesday"/>
    <x v="1"/>
    <n v="2"/>
    <n v="52926.17"/>
    <s v="Sachin Varma"/>
    <n v="28"/>
    <x v="18"/>
    <s v="Debit Card"/>
    <n v="5"/>
    <s v="Vivo S1"/>
  </r>
  <r>
    <n v="1045"/>
    <n v="3"/>
    <n v="8"/>
    <n v="2022"/>
    <s v="Wednesday"/>
    <x v="3"/>
    <n v="4"/>
    <n v="14150.45"/>
    <s v="Pankaj Mehta"/>
    <n v="44"/>
    <x v="1"/>
    <s v="Credit Card"/>
    <n v="5"/>
    <s v="Galaxy S21"/>
  </r>
  <r>
    <n v="1046"/>
    <n v="4"/>
    <n v="8"/>
    <n v="2022"/>
    <s v="Thursday"/>
    <x v="3"/>
    <n v="9"/>
    <n v="29872.5"/>
    <s v="Meena Dutta"/>
    <n v="40"/>
    <x v="16"/>
    <s v="Cash"/>
    <n v="5"/>
    <s v="Galaxy A51"/>
  </r>
  <r>
    <n v="1047"/>
    <n v="4"/>
    <n v="8"/>
    <n v="2022"/>
    <s v="Thursday"/>
    <x v="2"/>
    <n v="8"/>
    <n v="26949.919999999998"/>
    <s v="Monika Nambiar"/>
    <n v="55"/>
    <x v="6"/>
    <s v="Debit Card"/>
    <n v="5"/>
    <s v="OnePlus 8T"/>
  </r>
  <r>
    <n v="1048"/>
    <n v="4"/>
    <n v="8"/>
    <n v="2022"/>
    <s v="Thursday"/>
    <x v="0"/>
    <n v="3"/>
    <n v="43309.58"/>
    <s v="Tapan Rathod"/>
    <n v="20"/>
    <x v="2"/>
    <s v="UPI"/>
    <n v="5"/>
    <s v="Redmi 9"/>
  </r>
  <r>
    <n v="1049"/>
    <n v="4"/>
    <n v="8"/>
    <n v="2022"/>
    <s v="Thursday"/>
    <x v="1"/>
    <n v="9"/>
    <n v="53824.98"/>
    <s v="Sunil Kumar"/>
    <n v="29"/>
    <x v="2"/>
    <s v="Cash"/>
    <n v="5"/>
    <s v="Vivo V20"/>
  </r>
  <r>
    <n v="1050"/>
    <n v="5"/>
    <n v="8"/>
    <n v="2022"/>
    <s v="Friday"/>
    <x v="4"/>
    <n v="5"/>
    <n v="41972.59"/>
    <s v="Namita Siddiqui"/>
    <n v="47"/>
    <x v="8"/>
    <s v="Cash"/>
    <n v="5"/>
    <s v="iPhone SE"/>
  </r>
  <r>
    <n v="1051"/>
    <n v="5"/>
    <n v="8"/>
    <n v="2022"/>
    <s v="Friday"/>
    <x v="4"/>
    <n v="3"/>
    <n v="65861.56"/>
    <s v="Prashant Jain"/>
    <n v="48"/>
    <x v="4"/>
    <s v="Cash"/>
    <n v="5"/>
    <s v="iPhone 12"/>
  </r>
  <r>
    <n v="1052"/>
    <n v="5"/>
    <n v="8"/>
    <n v="2022"/>
    <s v="Friday"/>
    <x v="3"/>
    <n v="5"/>
    <n v="67086.559999999998"/>
    <s v="Kunal Yadav"/>
    <n v="40"/>
    <x v="2"/>
    <s v="Debit Card"/>
    <n v="5"/>
    <s v="Galaxy Note 20"/>
  </r>
  <r>
    <n v="1053"/>
    <n v="6"/>
    <n v="8"/>
    <n v="2022"/>
    <s v="Saturday"/>
    <x v="2"/>
    <n v="4"/>
    <n v="31687.919999999998"/>
    <s v="Umesh Ghosh"/>
    <n v="18"/>
    <x v="11"/>
    <s v="Credit Card"/>
    <n v="4"/>
    <s v="OnePlus Nord"/>
  </r>
  <r>
    <n v="1054"/>
    <n v="6"/>
    <n v="8"/>
    <n v="2022"/>
    <s v="Saturday"/>
    <x v="2"/>
    <n v="8"/>
    <n v="56660.82"/>
    <s v="Lata Mehta"/>
    <n v="58"/>
    <x v="14"/>
    <s v="Credit Card"/>
    <n v="5"/>
    <s v="OnePlus 8T"/>
  </r>
  <r>
    <n v="1055"/>
    <n v="6"/>
    <n v="8"/>
    <n v="2022"/>
    <s v="Saturday"/>
    <x v="4"/>
    <n v="5"/>
    <n v="54328.08"/>
    <s v="Ravi Arora"/>
    <n v="37"/>
    <x v="2"/>
    <s v="UPI"/>
    <n v="5"/>
    <s v="iPhone SE"/>
  </r>
  <r>
    <n v="1056"/>
    <n v="7"/>
    <n v="8"/>
    <n v="2022"/>
    <s v="Sunday"/>
    <x v="1"/>
    <n v="8"/>
    <n v="63577.88"/>
    <s v="Kavita Nair"/>
    <n v="23"/>
    <x v="16"/>
    <s v="Credit Card"/>
    <n v="5"/>
    <s v="Vivo S1"/>
  </r>
  <r>
    <n v="1057"/>
    <n v="7"/>
    <n v="8"/>
    <n v="2022"/>
    <s v="Sunday"/>
    <x v="0"/>
    <n v="9"/>
    <n v="36876.620000000003"/>
    <s v="Kavita Teja"/>
    <n v="28"/>
    <x v="8"/>
    <s v="UPI"/>
    <n v="5"/>
    <s v="Mi 11"/>
  </r>
  <r>
    <n v="1058"/>
    <n v="7"/>
    <n v="8"/>
    <n v="2022"/>
    <s v="Sunday"/>
    <x v="1"/>
    <n v="4"/>
    <n v="41828.39"/>
    <s v="Sunita Sheth"/>
    <n v="52"/>
    <x v="10"/>
    <s v="UPI"/>
    <n v="5"/>
    <s v="Vivo Y51"/>
  </r>
  <r>
    <n v="1059"/>
    <n v="8"/>
    <n v="8"/>
    <n v="2022"/>
    <s v="Monday"/>
    <x v="0"/>
    <n v="7"/>
    <n v="34946.46"/>
    <s v="Isha Ahuja"/>
    <n v="21"/>
    <x v="17"/>
    <s v="Credit Card"/>
    <n v="3"/>
    <s v="Redmi 9"/>
  </r>
  <r>
    <n v="1060"/>
    <n v="8"/>
    <n v="8"/>
    <n v="2022"/>
    <s v="Monday"/>
    <x v="4"/>
    <n v="2"/>
    <n v="61022.62"/>
    <s v="Ravi Teja"/>
    <n v="46"/>
    <x v="1"/>
    <s v="UPI"/>
    <n v="5"/>
    <s v="iPhone SE"/>
  </r>
  <r>
    <n v="1061"/>
    <n v="8"/>
    <n v="8"/>
    <n v="2022"/>
    <s v="Monday"/>
    <x v="0"/>
    <n v="6"/>
    <n v="23782.14"/>
    <s v="Ramesh Srivastava"/>
    <n v="27"/>
    <x v="7"/>
    <s v="Cash"/>
    <n v="5"/>
    <s v="Redmi 9"/>
  </r>
  <r>
    <n v="1062"/>
    <n v="8"/>
    <n v="8"/>
    <n v="2022"/>
    <s v="Monday"/>
    <x v="2"/>
    <n v="8"/>
    <n v="24382.54"/>
    <s v="Sneha Rao"/>
    <n v="46"/>
    <x v="0"/>
    <s v="Cash"/>
    <n v="3"/>
    <s v="OnePlus 8T"/>
  </r>
  <r>
    <n v="1063"/>
    <n v="9"/>
    <n v="8"/>
    <n v="2022"/>
    <s v="Tuesday"/>
    <x v="3"/>
    <n v="7"/>
    <n v="32356.31"/>
    <s v="Vivek Bhatnagar"/>
    <n v="55"/>
    <x v="17"/>
    <s v="Cash"/>
    <n v="5"/>
    <s v="Galaxy S21"/>
  </r>
  <r>
    <n v="1064"/>
    <n v="9"/>
    <n v="8"/>
    <n v="2022"/>
    <s v="Tuesday"/>
    <x v="3"/>
    <n v="7"/>
    <n v="23820.57"/>
    <s v="Navin Sharma"/>
    <n v="18"/>
    <x v="2"/>
    <s v="Debit Card"/>
    <n v="5"/>
    <s v="Galaxy Note 20"/>
  </r>
  <r>
    <n v="1065"/>
    <n v="9"/>
    <n v="8"/>
    <n v="2022"/>
    <s v="Tuesday"/>
    <x v="4"/>
    <n v="8"/>
    <n v="43660.41"/>
    <s v="Priya Siddiqui"/>
    <n v="57"/>
    <x v="18"/>
    <s v="UPI"/>
    <n v="4"/>
    <s v="iPhone SE"/>
  </r>
  <r>
    <n v="1066"/>
    <n v="9"/>
    <n v="8"/>
    <n v="2022"/>
    <s v="Tuesday"/>
    <x v="2"/>
    <n v="7"/>
    <n v="18069.41"/>
    <s v="Shruti Kulkarni"/>
    <n v="25"/>
    <x v="6"/>
    <s v="UPI"/>
    <n v="4"/>
    <s v="OnePlus Nord"/>
  </r>
  <r>
    <n v="1067"/>
    <n v="10"/>
    <n v="8"/>
    <n v="2022"/>
    <s v="Wednesday"/>
    <x v="1"/>
    <n v="5"/>
    <n v="29211.17"/>
    <s v="Nikhil Bhattacharya"/>
    <n v="55"/>
    <x v="17"/>
    <s v="Cash"/>
    <n v="4"/>
    <s v="Vivo Y51"/>
  </r>
  <r>
    <n v="1068"/>
    <n v="10"/>
    <n v="8"/>
    <n v="2022"/>
    <s v="Wednesday"/>
    <x v="2"/>
    <n v="7"/>
    <n v="64806.68"/>
    <s v="Navin Solanki"/>
    <n v="34"/>
    <x v="2"/>
    <s v="Debit Card"/>
    <n v="5"/>
    <s v="OnePlus Nord"/>
  </r>
  <r>
    <n v="1069"/>
    <n v="10"/>
    <n v="8"/>
    <n v="2022"/>
    <s v="Wednesday"/>
    <x v="3"/>
    <n v="3"/>
    <n v="34553.53"/>
    <s v="Reena Bhattacharya"/>
    <n v="36"/>
    <x v="1"/>
    <s v="Credit Card"/>
    <n v="5"/>
    <s v="Galaxy A51"/>
  </r>
  <r>
    <n v="1070"/>
    <n v="11"/>
    <n v="8"/>
    <n v="2022"/>
    <s v="Thursday"/>
    <x v="3"/>
    <n v="5"/>
    <n v="54894.02"/>
    <s v="Radha Gupta"/>
    <n v="50"/>
    <x v="9"/>
    <s v="Cash"/>
    <n v="3"/>
    <s v="Galaxy A51"/>
  </r>
  <r>
    <n v="1071"/>
    <n v="11"/>
    <n v="8"/>
    <n v="2022"/>
    <s v="Thursday"/>
    <x v="2"/>
    <n v="7"/>
    <n v="16807.73"/>
    <s v="Monika Bhatnagar"/>
    <n v="32"/>
    <x v="14"/>
    <s v="Debit Card"/>
    <n v="5"/>
    <s v="OnePlus Nord"/>
  </r>
  <r>
    <n v="1072"/>
    <n v="11"/>
    <n v="8"/>
    <n v="2022"/>
    <s v="Thursday"/>
    <x v="2"/>
    <n v="9"/>
    <n v="24853.87"/>
    <s v="Tapan Varma"/>
    <n v="48"/>
    <x v="1"/>
    <s v="Credit Card"/>
    <n v="5"/>
    <s v="OnePlus Nord"/>
  </r>
  <r>
    <n v="1073"/>
    <n v="11"/>
    <n v="8"/>
    <n v="2022"/>
    <s v="Thursday"/>
    <x v="3"/>
    <n v="2"/>
    <n v="58440.74"/>
    <s v="Ayesha Solanki"/>
    <n v="38"/>
    <x v="2"/>
    <s v="Debit Card"/>
    <n v="3"/>
    <s v="Galaxy S21"/>
  </r>
  <r>
    <n v="1074"/>
    <n v="12"/>
    <n v="8"/>
    <n v="2022"/>
    <s v="Friday"/>
    <x v="1"/>
    <n v="4"/>
    <n v="55779.58"/>
    <s v="Lalita Alva"/>
    <n v="20"/>
    <x v="5"/>
    <s v="Credit Card"/>
    <n v="3"/>
    <s v="Vivo Y51"/>
  </r>
  <r>
    <n v="1075"/>
    <n v="12"/>
    <n v="8"/>
    <n v="2022"/>
    <s v="Friday"/>
    <x v="4"/>
    <n v="7"/>
    <n v="33169.360000000001"/>
    <s v="Vivek Menon"/>
    <n v="19"/>
    <x v="1"/>
    <s v="UPI"/>
    <n v="5"/>
    <s v="iPhone 11"/>
  </r>
  <r>
    <n v="1076"/>
    <n v="12"/>
    <n v="8"/>
    <n v="2022"/>
    <s v="Friday"/>
    <x v="4"/>
    <n v="1"/>
    <n v="67263.81"/>
    <s v="Priyanka Jain"/>
    <n v="52"/>
    <x v="1"/>
    <s v="UPI"/>
    <n v="5"/>
    <s v="iPhone 11"/>
  </r>
  <r>
    <n v="1077"/>
    <n v="12"/>
    <n v="8"/>
    <n v="2022"/>
    <s v="Friday"/>
    <x v="2"/>
    <n v="2"/>
    <n v="64638.58"/>
    <s v="Sneha Sharma"/>
    <n v="58"/>
    <x v="14"/>
    <s v="Debit Card"/>
    <n v="5"/>
    <s v="OnePlus 9"/>
  </r>
  <r>
    <n v="1078"/>
    <n v="13"/>
    <n v="8"/>
    <n v="2022"/>
    <s v="Saturday"/>
    <x v="4"/>
    <n v="9"/>
    <n v="67738.039999999994"/>
    <s v="Mala Pathak"/>
    <n v="33"/>
    <x v="5"/>
    <s v="Debit Card"/>
    <n v="5"/>
    <s v="iPhone 12"/>
  </r>
  <r>
    <n v="1079"/>
    <n v="13"/>
    <n v="8"/>
    <n v="2022"/>
    <s v="Saturday"/>
    <x v="3"/>
    <n v="7"/>
    <n v="35674.879999999997"/>
    <s v="Navin Kapoor"/>
    <n v="38"/>
    <x v="1"/>
    <s v="Credit Card"/>
    <n v="4"/>
    <s v="Galaxy Note 20"/>
  </r>
  <r>
    <n v="1080"/>
    <n v="13"/>
    <n v="8"/>
    <n v="2022"/>
    <s v="Saturday"/>
    <x v="3"/>
    <n v="7"/>
    <n v="21848.42"/>
    <s v="Tapan Ahuja"/>
    <n v="29"/>
    <x v="1"/>
    <s v="Debit Card"/>
    <n v="5"/>
    <s v="Galaxy Note 20"/>
  </r>
  <r>
    <n v="1081"/>
    <n v="13"/>
    <n v="8"/>
    <n v="2022"/>
    <s v="Saturday"/>
    <x v="2"/>
    <n v="6"/>
    <n v="47599.519999999997"/>
    <s v="Ramesh Solanki"/>
    <n v="45"/>
    <x v="1"/>
    <s v="Debit Card"/>
    <n v="3"/>
    <s v="OnePlus 8T"/>
  </r>
  <r>
    <n v="1082"/>
    <n v="14"/>
    <n v="8"/>
    <n v="2022"/>
    <s v="Sunday"/>
    <x v="2"/>
    <n v="3"/>
    <n v="51086.39"/>
    <s v="Yogesh Patel"/>
    <n v="29"/>
    <x v="7"/>
    <s v="Credit Card"/>
    <n v="3"/>
    <s v="OnePlus Nord"/>
  </r>
  <r>
    <n v="1083"/>
    <n v="14"/>
    <n v="8"/>
    <n v="2022"/>
    <s v="Sunday"/>
    <x v="2"/>
    <n v="3"/>
    <n v="17526.509999999998"/>
    <s v="Nikhil Ahuja"/>
    <n v="50"/>
    <x v="1"/>
    <s v="Credit Card"/>
    <n v="4"/>
    <s v="OnePlus 9"/>
  </r>
  <r>
    <n v="1084"/>
    <n v="14"/>
    <n v="8"/>
    <n v="2022"/>
    <s v="Sunday"/>
    <x v="1"/>
    <n v="2"/>
    <n v="57188.98"/>
    <s v="Vivek Prasad"/>
    <n v="37"/>
    <x v="17"/>
    <s v="UPI"/>
    <n v="3"/>
    <s v="Vivo V20"/>
  </r>
  <r>
    <n v="1085"/>
    <n v="14"/>
    <n v="8"/>
    <n v="2022"/>
    <s v="Sunday"/>
    <x v="4"/>
    <n v="6"/>
    <n v="11083.61"/>
    <s v="Navin Mathur"/>
    <n v="57"/>
    <x v="18"/>
    <s v="Cash"/>
    <n v="4"/>
    <s v="iPhone SE"/>
  </r>
  <r>
    <n v="1086"/>
    <n v="15"/>
    <n v="8"/>
    <n v="2022"/>
    <s v="Monday"/>
    <x v="2"/>
    <n v="4"/>
    <n v="38963.699999999997"/>
    <s v="Sunita Teja"/>
    <n v="38"/>
    <x v="1"/>
    <s v="Debit Card"/>
    <n v="5"/>
    <s v="OnePlus 9"/>
  </r>
  <r>
    <n v="1087"/>
    <n v="15"/>
    <n v="8"/>
    <n v="2022"/>
    <s v="Monday"/>
    <x v="0"/>
    <n v="5"/>
    <n v="29860.98"/>
    <s v="Bhavana Mishra"/>
    <n v="56"/>
    <x v="1"/>
    <s v="Credit Card"/>
    <n v="4"/>
    <s v="Mi 11"/>
  </r>
  <r>
    <n v="1088"/>
    <n v="15"/>
    <n v="8"/>
    <n v="2022"/>
    <s v="Monday"/>
    <x v="0"/>
    <n v="3"/>
    <n v="54418.18"/>
    <s v="Aditya Menon"/>
    <n v="58"/>
    <x v="11"/>
    <s v="UPI"/>
    <n v="5"/>
    <s v="Redmi Note 10"/>
  </r>
  <r>
    <n v="1089"/>
    <n v="15"/>
    <n v="8"/>
    <n v="2022"/>
    <s v="Monday"/>
    <x v="3"/>
    <n v="6"/>
    <n v="28765.64"/>
    <s v="Anita Sharma"/>
    <n v="59"/>
    <x v="5"/>
    <s v="Cash"/>
    <n v="4"/>
    <s v="Galaxy A51"/>
  </r>
  <r>
    <n v="1090"/>
    <n v="16"/>
    <n v="8"/>
    <n v="2022"/>
    <s v="Tuesday"/>
    <x v="4"/>
    <n v="3"/>
    <n v="59608.43"/>
    <s v="Manoj Mehta"/>
    <n v="53"/>
    <x v="11"/>
    <s v="Debit Card"/>
    <n v="5"/>
    <s v="iPhone 11"/>
  </r>
  <r>
    <n v="1091"/>
    <n v="16"/>
    <n v="8"/>
    <n v="2022"/>
    <s v="Tuesday"/>
    <x v="2"/>
    <n v="8"/>
    <n v="45697.21"/>
    <s v="Deepika Shah"/>
    <n v="39"/>
    <x v="18"/>
    <s v="UPI"/>
    <n v="4"/>
    <s v="OnePlus 9"/>
  </r>
  <r>
    <n v="1092"/>
    <n v="16"/>
    <n v="8"/>
    <n v="2022"/>
    <s v="Tuesday"/>
    <x v="0"/>
    <n v="9"/>
    <n v="57633.599999999999"/>
    <s v="Amit Das"/>
    <n v="43"/>
    <x v="1"/>
    <s v="Cash"/>
    <n v="5"/>
    <s v="Mi 11"/>
  </r>
  <r>
    <n v="1093"/>
    <n v="17"/>
    <n v="8"/>
    <n v="2022"/>
    <s v="Wednesday"/>
    <x v="4"/>
    <n v="4"/>
    <n v="69360.44"/>
    <s v="Pooja Menon"/>
    <n v="24"/>
    <x v="1"/>
    <s v="Debit Card"/>
    <n v="5"/>
    <s v="iPhone 12"/>
  </r>
  <r>
    <n v="1094"/>
    <n v="17"/>
    <n v="8"/>
    <n v="2022"/>
    <s v="Wednesday"/>
    <x v="3"/>
    <n v="9"/>
    <n v="50749.5"/>
    <s v="Yogesh Kaur"/>
    <n v="24"/>
    <x v="15"/>
    <s v="UPI"/>
    <n v="5"/>
    <s v="Galaxy Note 20"/>
  </r>
  <r>
    <n v="1095"/>
    <n v="17"/>
    <n v="8"/>
    <n v="2022"/>
    <s v="Wednesday"/>
    <x v="1"/>
    <n v="7"/>
    <n v="69097.02"/>
    <s v="Anjali Varma"/>
    <n v="25"/>
    <x v="1"/>
    <s v="Debit Card"/>
    <n v="5"/>
    <s v="Vivo S1"/>
  </r>
  <r>
    <n v="1096"/>
    <n v="17"/>
    <n v="8"/>
    <n v="2022"/>
    <s v="Wednesday"/>
    <x v="4"/>
    <n v="3"/>
    <n v="11730.18"/>
    <s v="Sanjay Patel"/>
    <n v="43"/>
    <x v="1"/>
    <s v="Cash"/>
    <n v="5"/>
    <s v="iPhone SE"/>
  </r>
  <r>
    <n v="1097"/>
    <n v="18"/>
    <n v="8"/>
    <n v="2022"/>
    <s v="Thursday"/>
    <x v="4"/>
    <n v="7"/>
    <n v="30288.400000000001"/>
    <s v="Anjali Varma"/>
    <n v="41"/>
    <x v="1"/>
    <s v="Credit Card"/>
    <n v="5"/>
    <s v="iPhone 12"/>
  </r>
  <r>
    <n v="1098"/>
    <n v="18"/>
    <n v="8"/>
    <n v="2022"/>
    <s v="Thursday"/>
    <x v="1"/>
    <n v="1"/>
    <n v="16471.2"/>
    <s v="Vinod Dutta"/>
    <n v="41"/>
    <x v="2"/>
    <s v="UPI"/>
    <n v="4"/>
    <s v="Vivo V20"/>
  </r>
  <r>
    <n v="1099"/>
    <n v="18"/>
    <n v="8"/>
    <n v="2022"/>
    <s v="Thursday"/>
    <x v="4"/>
    <n v="3"/>
    <n v="25738.3"/>
    <s v="Meena Desai"/>
    <n v="57"/>
    <x v="1"/>
    <s v="Cash"/>
    <n v="5"/>
    <s v="iPhone 11"/>
  </r>
  <r>
    <n v="1100"/>
    <n v="19"/>
    <n v="8"/>
    <n v="2022"/>
    <s v="Friday"/>
    <x v="3"/>
    <n v="6"/>
    <n v="60333.27"/>
    <s v="Umesh Rawat"/>
    <n v="29"/>
    <x v="1"/>
    <s v="Debit Card"/>
    <n v="5"/>
    <s v="Galaxy A51"/>
  </r>
  <r>
    <n v="1101"/>
    <n v="19"/>
    <n v="8"/>
    <n v="2022"/>
    <s v="Friday"/>
    <x v="3"/>
    <n v="4"/>
    <n v="11939.4"/>
    <s v="Pankaj Arora"/>
    <n v="25"/>
    <x v="3"/>
    <s v="Cash"/>
    <n v="5"/>
    <s v="Galaxy Note 20"/>
  </r>
  <r>
    <n v="1102"/>
    <n v="19"/>
    <n v="8"/>
    <n v="2022"/>
    <s v="Friday"/>
    <x v="1"/>
    <n v="7"/>
    <n v="41210.980000000003"/>
    <s v="Sumit Reddy"/>
    <n v="26"/>
    <x v="2"/>
    <s v="Cash"/>
    <n v="5"/>
    <s v="Vivo S1"/>
  </r>
  <r>
    <n v="1103"/>
    <n v="20"/>
    <n v="8"/>
    <n v="2022"/>
    <s v="Saturday"/>
    <x v="2"/>
    <n v="3"/>
    <n v="44027.72"/>
    <s v="Nikhil Kapoor"/>
    <n v="20"/>
    <x v="17"/>
    <s v="Credit Card"/>
    <n v="5"/>
    <s v="OnePlus 8T"/>
  </r>
  <r>
    <n v="1104"/>
    <n v="20"/>
    <n v="8"/>
    <n v="2022"/>
    <s v="Saturday"/>
    <x v="0"/>
    <n v="1"/>
    <n v="43669.07"/>
    <s v="Amit Prasad"/>
    <n v="38"/>
    <x v="1"/>
    <s v="UPI"/>
    <n v="5"/>
    <s v="Mi 11"/>
  </r>
  <r>
    <n v="1105"/>
    <n v="20"/>
    <n v="8"/>
    <n v="2022"/>
    <s v="Saturday"/>
    <x v="2"/>
    <n v="9"/>
    <n v="38517.82"/>
    <s v="Ayesha Patel"/>
    <n v="48"/>
    <x v="8"/>
    <s v="Cash"/>
    <n v="5"/>
    <s v="OnePlus 8T"/>
  </r>
  <r>
    <n v="1106"/>
    <n v="20"/>
    <n v="8"/>
    <n v="2022"/>
    <s v="Saturday"/>
    <x v="4"/>
    <n v="6"/>
    <n v="57436.18"/>
    <s v="Rajesh Ghosh"/>
    <n v="41"/>
    <x v="12"/>
    <s v="Credit Card"/>
    <n v="3"/>
    <s v="iPhone 12"/>
  </r>
  <r>
    <n v="1107"/>
    <n v="21"/>
    <n v="8"/>
    <n v="2022"/>
    <s v="Sunday"/>
    <x v="0"/>
    <n v="8"/>
    <n v="18012.59"/>
    <s v="Gita Bhattacharya"/>
    <n v="21"/>
    <x v="1"/>
    <s v="Credit Card"/>
    <n v="5"/>
    <s v="Redmi 9"/>
  </r>
  <r>
    <n v="1108"/>
    <n v="21"/>
    <n v="8"/>
    <n v="2022"/>
    <s v="Sunday"/>
    <x v="1"/>
    <n v="3"/>
    <n v="28634.62"/>
    <s v="Sanjay Das"/>
    <n v="37"/>
    <x v="1"/>
    <s v="Credit Card"/>
    <n v="1"/>
    <s v="Vivo V20"/>
  </r>
  <r>
    <n v="1109"/>
    <n v="21"/>
    <n v="8"/>
    <n v="2022"/>
    <s v="Sunday"/>
    <x v="1"/>
    <n v="8"/>
    <n v="46943.56"/>
    <s v="Deepika Reddy"/>
    <n v="33"/>
    <x v="3"/>
    <s v="Debit Card"/>
    <n v="4"/>
    <s v="Vivo V20"/>
  </r>
  <r>
    <n v="1110"/>
    <n v="22"/>
    <n v="8"/>
    <n v="2022"/>
    <s v="Monday"/>
    <x v="0"/>
    <n v="2"/>
    <n v="51457.08"/>
    <s v="Krishna Nambiar"/>
    <n v="27"/>
    <x v="0"/>
    <s v="Credit Card"/>
    <n v="4"/>
    <s v="Mi 11"/>
  </r>
  <r>
    <n v="1111"/>
    <n v="22"/>
    <n v="8"/>
    <n v="2022"/>
    <s v="Monday"/>
    <x v="3"/>
    <n v="4"/>
    <n v="34248.910000000003"/>
    <s v="Mala Mathur"/>
    <n v="43"/>
    <x v="1"/>
    <s v="Credit Card"/>
    <n v="3"/>
    <s v="Galaxy A51"/>
  </r>
  <r>
    <n v="1112"/>
    <n v="22"/>
    <n v="8"/>
    <n v="2022"/>
    <s v="Monday"/>
    <x v="0"/>
    <n v="3"/>
    <n v="62522.28"/>
    <s v="Krishna Menon"/>
    <n v="46"/>
    <x v="1"/>
    <s v="Credit Card"/>
    <n v="1"/>
    <s v="Redmi Note 10"/>
  </r>
  <r>
    <n v="1113"/>
    <n v="23"/>
    <n v="8"/>
    <n v="2022"/>
    <s v="Tuesday"/>
    <x v="4"/>
    <n v="1"/>
    <n v="34929.599999999999"/>
    <s v="Rajesh Menon"/>
    <n v="22"/>
    <x v="4"/>
    <s v="Credit Card"/>
    <n v="5"/>
    <s v="iPhone 11"/>
  </r>
  <r>
    <n v="1114"/>
    <n v="23"/>
    <n v="8"/>
    <n v="2022"/>
    <s v="Tuesday"/>
    <x v="3"/>
    <n v="7"/>
    <n v="34166.57"/>
    <s v="Devendra Srivastava"/>
    <n v="28"/>
    <x v="13"/>
    <s v="UPI"/>
    <n v="5"/>
    <s v="Galaxy A51"/>
  </r>
  <r>
    <n v="1115"/>
    <n v="23"/>
    <n v="8"/>
    <n v="2022"/>
    <s v="Tuesday"/>
    <x v="1"/>
    <n v="2"/>
    <n v="12172.44"/>
    <s v="Sanjay Pathak"/>
    <n v="46"/>
    <x v="1"/>
    <s v="UPI"/>
    <n v="5"/>
    <s v="Vivo S1"/>
  </r>
  <r>
    <n v="1116"/>
    <n v="24"/>
    <n v="8"/>
    <n v="2022"/>
    <s v="Wednesday"/>
    <x v="0"/>
    <n v="4"/>
    <n v="43068.480000000003"/>
    <s v="Sunita Verma"/>
    <n v="32"/>
    <x v="17"/>
    <s v="Credit Card"/>
    <n v="3"/>
    <s v="Redmi Note 10"/>
  </r>
  <r>
    <n v="1117"/>
    <n v="24"/>
    <n v="8"/>
    <n v="2022"/>
    <s v="Wednesday"/>
    <x v="2"/>
    <n v="9"/>
    <n v="52520.85"/>
    <s v="Sachin Joshi"/>
    <n v="23"/>
    <x v="2"/>
    <s v="Cash"/>
    <n v="3"/>
    <s v="OnePlus 8T"/>
  </r>
  <r>
    <n v="1118"/>
    <n v="24"/>
    <n v="8"/>
    <n v="2022"/>
    <s v="Wednesday"/>
    <x v="2"/>
    <n v="6"/>
    <n v="16866.29"/>
    <s v="Krishna Alva"/>
    <n v="32"/>
    <x v="4"/>
    <s v="Debit Card"/>
    <n v="3"/>
    <s v="OnePlus 9"/>
  </r>
  <r>
    <n v="1119"/>
    <n v="24"/>
    <n v="8"/>
    <n v="2022"/>
    <s v="Wednesday"/>
    <x v="4"/>
    <n v="8"/>
    <n v="28325.97"/>
    <s v="Amit Rao"/>
    <n v="37"/>
    <x v="10"/>
    <s v="Cash"/>
    <n v="3"/>
    <s v="iPhone SE"/>
  </r>
  <r>
    <n v="1120"/>
    <n v="25"/>
    <n v="8"/>
    <n v="2022"/>
    <s v="Thursday"/>
    <x v="2"/>
    <n v="2"/>
    <n v="56875.42"/>
    <s v="Lalita Sheth"/>
    <n v="51"/>
    <x v="1"/>
    <s v="Cash"/>
    <n v="3"/>
    <s v="OnePlus 9"/>
  </r>
  <r>
    <n v="1121"/>
    <n v="25"/>
    <n v="8"/>
    <n v="2022"/>
    <s v="Thursday"/>
    <x v="0"/>
    <n v="7"/>
    <n v="31955.17"/>
    <s v="Anita Prasad"/>
    <n v="19"/>
    <x v="1"/>
    <s v="Credit Card"/>
    <n v="3"/>
    <s v="Mi 11"/>
  </r>
  <r>
    <n v="1122"/>
    <n v="25"/>
    <n v="8"/>
    <n v="2022"/>
    <s v="Thursday"/>
    <x v="0"/>
    <n v="6"/>
    <n v="24496.15"/>
    <s v="Vivek Alva"/>
    <n v="33"/>
    <x v="6"/>
    <s v="Cash"/>
    <n v="5"/>
    <s v="Redmi 9"/>
  </r>
  <r>
    <n v="1123"/>
    <n v="25"/>
    <n v="8"/>
    <n v="2022"/>
    <s v="Thursday"/>
    <x v="2"/>
    <n v="9"/>
    <n v="50332.04"/>
    <s v="Kiran Bhattacharya"/>
    <n v="36"/>
    <x v="16"/>
    <s v="UPI"/>
    <n v="5"/>
    <s v="OnePlus 8T"/>
  </r>
  <r>
    <n v="1124"/>
    <n v="26"/>
    <n v="8"/>
    <n v="2022"/>
    <s v="Friday"/>
    <x v="0"/>
    <n v="7"/>
    <n v="21805.53"/>
    <s v="Vinod Pathak"/>
    <n v="51"/>
    <x v="10"/>
    <s v="UPI"/>
    <n v="5"/>
    <s v="Mi 11"/>
  </r>
  <r>
    <n v="1125"/>
    <n v="26"/>
    <n v="8"/>
    <n v="2022"/>
    <s v="Friday"/>
    <x v="4"/>
    <n v="1"/>
    <n v="63739.18"/>
    <s v="Nikhil Rathod"/>
    <n v="31"/>
    <x v="1"/>
    <s v="Debit Card"/>
    <n v="5"/>
    <s v="iPhone SE"/>
  </r>
  <r>
    <n v="1126"/>
    <n v="26"/>
    <n v="8"/>
    <n v="2022"/>
    <s v="Friday"/>
    <x v="3"/>
    <n v="8"/>
    <n v="16335.9"/>
    <s v="Lata Dutta"/>
    <n v="41"/>
    <x v="2"/>
    <s v="UPI"/>
    <n v="3"/>
    <s v="Galaxy Note 20"/>
  </r>
  <r>
    <n v="1127"/>
    <n v="27"/>
    <n v="8"/>
    <n v="2022"/>
    <s v="Saturday"/>
    <x v="4"/>
    <n v="3"/>
    <n v="52392.99"/>
    <s v="Kunal Patel"/>
    <n v="45"/>
    <x v="1"/>
    <s v="UPI"/>
    <n v="5"/>
    <s v="iPhone 11"/>
  </r>
  <r>
    <n v="1128"/>
    <n v="27"/>
    <n v="8"/>
    <n v="2022"/>
    <s v="Saturday"/>
    <x v="4"/>
    <n v="2"/>
    <n v="39972.92"/>
    <s v="Deepika Alva"/>
    <n v="49"/>
    <x v="2"/>
    <s v="Credit Card"/>
    <n v="3"/>
    <s v="iPhone 11"/>
  </r>
  <r>
    <n v="1129"/>
    <n v="27"/>
    <n v="8"/>
    <n v="2022"/>
    <s v="Saturday"/>
    <x v="0"/>
    <n v="3"/>
    <n v="62195.77"/>
    <s v="Radha Jain"/>
    <n v="54"/>
    <x v="2"/>
    <s v="UPI"/>
    <n v="5"/>
    <s v="Redmi 9"/>
  </r>
  <r>
    <n v="1130"/>
    <n v="27"/>
    <n v="8"/>
    <n v="2022"/>
    <s v="Saturday"/>
    <x v="3"/>
    <n v="6"/>
    <n v="17571.71"/>
    <s v="Kiran Pathak"/>
    <n v="27"/>
    <x v="7"/>
    <s v="Cash"/>
    <n v="4"/>
    <s v="Galaxy Note 20"/>
  </r>
  <r>
    <n v="1131"/>
    <n v="28"/>
    <n v="8"/>
    <n v="2022"/>
    <s v="Sunday"/>
    <x v="0"/>
    <n v="3"/>
    <n v="50673.7"/>
    <s v="Krishna Goyal"/>
    <n v="26"/>
    <x v="15"/>
    <s v="Cash"/>
    <n v="5"/>
    <s v="Redmi Note 10"/>
  </r>
  <r>
    <n v="1132"/>
    <n v="28"/>
    <n v="8"/>
    <n v="2022"/>
    <s v="Sunday"/>
    <x v="1"/>
    <n v="5"/>
    <n v="44323.28"/>
    <s v="Tapan Ahuja"/>
    <n v="41"/>
    <x v="1"/>
    <s v="UPI"/>
    <n v="1"/>
    <s v="Vivo V20"/>
  </r>
  <r>
    <n v="1133"/>
    <n v="28"/>
    <n v="8"/>
    <n v="2022"/>
    <s v="Sunday"/>
    <x v="0"/>
    <n v="6"/>
    <n v="38805.410000000003"/>
    <s v="Priya Patel"/>
    <n v="53"/>
    <x v="7"/>
    <s v="Debit Card"/>
    <n v="5"/>
    <s v="Mi 11"/>
  </r>
  <r>
    <n v="1134"/>
    <n v="28"/>
    <n v="8"/>
    <n v="2022"/>
    <s v="Sunday"/>
    <x v="0"/>
    <n v="8"/>
    <n v="39484.44"/>
    <s v="Anita Ghosh"/>
    <n v="46"/>
    <x v="0"/>
    <s v="Debit Card"/>
    <n v="1"/>
    <s v="Redmi Note 10"/>
  </r>
  <r>
    <n v="1135"/>
    <n v="29"/>
    <n v="8"/>
    <n v="2022"/>
    <s v="Monday"/>
    <x v="0"/>
    <n v="7"/>
    <n v="53318.62"/>
    <s v="Deepika Menon"/>
    <n v="46"/>
    <x v="2"/>
    <s v="Debit Card"/>
    <n v="5"/>
    <s v="Redmi Note 10"/>
  </r>
  <r>
    <n v="1136"/>
    <n v="29"/>
    <n v="8"/>
    <n v="2022"/>
    <s v="Monday"/>
    <x v="3"/>
    <n v="8"/>
    <n v="66264.5"/>
    <s v="Vinod Kaur"/>
    <n v="40"/>
    <x v="2"/>
    <s v="UPI"/>
    <n v="5"/>
    <s v="Galaxy A51"/>
  </r>
  <r>
    <n v="1137"/>
    <n v="29"/>
    <n v="8"/>
    <n v="2022"/>
    <s v="Monday"/>
    <x v="0"/>
    <n v="3"/>
    <n v="15475.1"/>
    <s v="Krishna Bhattacharya"/>
    <n v="44"/>
    <x v="17"/>
    <s v="Debit Card"/>
    <n v="4"/>
    <s v="Mi 11"/>
  </r>
  <r>
    <n v="1138"/>
    <n v="29"/>
    <n v="8"/>
    <n v="2022"/>
    <s v="Monday"/>
    <x v="3"/>
    <n v="4"/>
    <n v="11170.16"/>
    <s v="Arun Mathur"/>
    <n v="48"/>
    <x v="17"/>
    <s v="UPI"/>
    <n v="5"/>
    <s v="Galaxy A51"/>
  </r>
  <r>
    <n v="1139"/>
    <n v="30"/>
    <n v="8"/>
    <n v="2022"/>
    <s v="Tuesday"/>
    <x v="2"/>
    <n v="6"/>
    <n v="58342.29"/>
    <s v="Deepika Solanki"/>
    <n v="24"/>
    <x v="2"/>
    <s v="Cash"/>
    <n v="5"/>
    <s v="OnePlus 8T"/>
  </r>
  <r>
    <n v="1140"/>
    <n v="30"/>
    <n v="8"/>
    <n v="2022"/>
    <s v="Tuesday"/>
    <x v="1"/>
    <n v="7"/>
    <n v="16490.16"/>
    <s v="Rajesh Prasad"/>
    <n v="21"/>
    <x v="1"/>
    <s v="Debit Card"/>
    <n v="5"/>
    <s v="Vivo V20"/>
  </r>
  <r>
    <n v="1141"/>
    <n v="30"/>
    <n v="8"/>
    <n v="2022"/>
    <s v="Tuesday"/>
    <x v="3"/>
    <n v="9"/>
    <n v="69201.81"/>
    <s v="Priya Singh"/>
    <n v="31"/>
    <x v="1"/>
    <s v="Debit Card"/>
    <n v="3"/>
    <s v="Galaxy A51"/>
  </r>
  <r>
    <n v="1142"/>
    <n v="30"/>
    <n v="8"/>
    <n v="2022"/>
    <s v="Tuesday"/>
    <x v="2"/>
    <n v="1"/>
    <n v="47160.89"/>
    <s v="Vinod Dutta"/>
    <n v="59"/>
    <x v="6"/>
    <s v="Debit Card"/>
    <n v="5"/>
    <s v="OnePlus Nord"/>
  </r>
  <r>
    <n v="1143"/>
    <n v="31"/>
    <n v="8"/>
    <n v="2022"/>
    <s v="Wednesday"/>
    <x v="3"/>
    <n v="8"/>
    <n v="49051.98"/>
    <s v="Meena Verma"/>
    <n v="59"/>
    <x v="1"/>
    <s v="Cash"/>
    <n v="5"/>
    <s v="Galaxy S21"/>
  </r>
  <r>
    <n v="1144"/>
    <n v="31"/>
    <n v="8"/>
    <n v="2022"/>
    <s v="Wednesday"/>
    <x v="3"/>
    <n v="8"/>
    <n v="21933.5"/>
    <s v="Rohan Goyal"/>
    <n v="27"/>
    <x v="15"/>
    <s v="UPI"/>
    <n v="4"/>
    <s v="Galaxy S21"/>
  </r>
  <r>
    <n v="1145"/>
    <n v="31"/>
    <n v="8"/>
    <n v="2022"/>
    <s v="Wednesday"/>
    <x v="1"/>
    <n v="6"/>
    <n v="24418.74"/>
    <s v="Priya Siddiqui"/>
    <n v="51"/>
    <x v="2"/>
    <s v="Cash"/>
    <n v="1"/>
    <s v="Vivo Y51"/>
  </r>
  <r>
    <n v="1146"/>
    <n v="1"/>
    <n v="9"/>
    <n v="2022"/>
    <s v="Thursday"/>
    <x v="4"/>
    <n v="4"/>
    <n v="49561.02"/>
    <s v="Meena Menon"/>
    <n v="43"/>
    <x v="2"/>
    <s v="Cash"/>
    <n v="1"/>
    <s v="iPhone 11"/>
  </r>
  <r>
    <n v="1147"/>
    <n v="1"/>
    <n v="9"/>
    <n v="2022"/>
    <s v="Thursday"/>
    <x v="4"/>
    <n v="3"/>
    <n v="64583.61"/>
    <s v="Aditya Joshi"/>
    <n v="40"/>
    <x v="1"/>
    <s v="Credit Card"/>
    <n v="4"/>
    <s v="iPhone 12"/>
  </r>
  <r>
    <n v="1148"/>
    <n v="1"/>
    <n v="9"/>
    <n v="2022"/>
    <s v="Thursday"/>
    <x v="3"/>
    <n v="3"/>
    <n v="68943.429999999993"/>
    <s v="Rohan Jain"/>
    <n v="26"/>
    <x v="2"/>
    <s v="Debit Card"/>
    <n v="5"/>
    <s v="Galaxy S21"/>
  </r>
  <r>
    <n v="1149"/>
    <n v="2"/>
    <n v="9"/>
    <n v="2022"/>
    <s v="Friday"/>
    <x v="0"/>
    <n v="6"/>
    <n v="21881.86"/>
    <s v="Ravi Teja"/>
    <n v="54"/>
    <x v="1"/>
    <s v="UPI"/>
    <n v="5"/>
    <s v="Redmi 9"/>
  </r>
  <r>
    <n v="1150"/>
    <n v="2"/>
    <n v="9"/>
    <n v="2022"/>
    <s v="Friday"/>
    <x v="2"/>
    <n v="8"/>
    <n v="18047.18"/>
    <s v="Lata Chatterjee"/>
    <n v="25"/>
    <x v="15"/>
    <s v="UPI"/>
    <n v="5"/>
    <s v="OnePlus Nord"/>
  </r>
  <r>
    <n v="1151"/>
    <n v="2"/>
    <n v="9"/>
    <n v="2022"/>
    <s v="Friday"/>
    <x v="0"/>
    <n v="7"/>
    <n v="13384.08"/>
    <s v="Bhavana Ghosh"/>
    <n v="31"/>
    <x v="6"/>
    <s v="Credit Card"/>
    <n v="4"/>
    <s v="Mi 11"/>
  </r>
  <r>
    <n v="1152"/>
    <n v="2"/>
    <n v="9"/>
    <n v="2022"/>
    <s v="Friday"/>
    <x v="0"/>
    <n v="1"/>
    <n v="62097.82"/>
    <s v="Sunita Singh"/>
    <n v="24"/>
    <x v="14"/>
    <s v="Credit Card"/>
    <n v="5"/>
    <s v="Redmi 9"/>
  </r>
  <r>
    <n v="1153"/>
    <n v="3"/>
    <n v="9"/>
    <n v="2022"/>
    <s v="Saturday"/>
    <x v="3"/>
    <n v="6"/>
    <n v="27682.89"/>
    <s v="Deepika Gupta"/>
    <n v="24"/>
    <x v="10"/>
    <s v="Cash"/>
    <n v="1"/>
    <s v="Galaxy S21"/>
  </r>
  <r>
    <n v="1154"/>
    <n v="3"/>
    <n v="9"/>
    <n v="2022"/>
    <s v="Saturday"/>
    <x v="3"/>
    <n v="7"/>
    <n v="10108.719999999999"/>
    <s v="Amit Prasad"/>
    <n v="26"/>
    <x v="1"/>
    <s v="Credit Card"/>
    <n v="3"/>
    <s v="Galaxy S21"/>
  </r>
  <r>
    <n v="1155"/>
    <n v="3"/>
    <n v="9"/>
    <n v="2022"/>
    <s v="Saturday"/>
    <x v="3"/>
    <n v="7"/>
    <n v="23429.09"/>
    <s v="Prashant Gupta"/>
    <n v="20"/>
    <x v="2"/>
    <s v="UPI"/>
    <n v="5"/>
    <s v="Galaxy S21"/>
  </r>
  <r>
    <n v="1156"/>
    <n v="3"/>
    <n v="9"/>
    <n v="2022"/>
    <s v="Saturday"/>
    <x v="3"/>
    <n v="9"/>
    <n v="30426.46"/>
    <s v="Anjali Thakur"/>
    <n v="31"/>
    <x v="5"/>
    <s v="UPI"/>
    <n v="3"/>
    <s v="Galaxy S21"/>
  </r>
  <r>
    <n v="1157"/>
    <n v="4"/>
    <n v="9"/>
    <n v="2022"/>
    <s v="Sunday"/>
    <x v="4"/>
    <n v="5"/>
    <n v="69459.17"/>
    <s v="Manoj Iyer"/>
    <n v="34"/>
    <x v="4"/>
    <s v="UPI"/>
    <n v="5"/>
    <s v="iPhone 11"/>
  </r>
  <r>
    <n v="1158"/>
    <n v="4"/>
    <n v="9"/>
    <n v="2022"/>
    <s v="Sunday"/>
    <x v="3"/>
    <n v="1"/>
    <n v="41412.5"/>
    <s v="Prashant Nair"/>
    <n v="39"/>
    <x v="1"/>
    <s v="Cash"/>
    <n v="4"/>
    <s v="Galaxy S21"/>
  </r>
  <r>
    <n v="1159"/>
    <n v="4"/>
    <n v="9"/>
    <n v="2022"/>
    <s v="Sunday"/>
    <x v="4"/>
    <n v="2"/>
    <n v="22282.84"/>
    <s v="Prashant Nair"/>
    <n v="43"/>
    <x v="14"/>
    <s v="Debit Card"/>
    <n v="3"/>
    <s v="iPhone 12"/>
  </r>
  <r>
    <n v="1160"/>
    <n v="5"/>
    <n v="9"/>
    <n v="2022"/>
    <s v="Monday"/>
    <x v="4"/>
    <n v="4"/>
    <n v="30089.1"/>
    <s v="Kavita Iyer"/>
    <n v="45"/>
    <x v="0"/>
    <s v="Debit Card"/>
    <n v="5"/>
    <s v="iPhone 12"/>
  </r>
  <r>
    <n v="1161"/>
    <n v="5"/>
    <n v="9"/>
    <n v="2022"/>
    <s v="Monday"/>
    <x v="3"/>
    <n v="5"/>
    <n v="29818.46"/>
    <s v="Namita Pathak"/>
    <n v="31"/>
    <x v="2"/>
    <s v="Cash"/>
    <n v="4"/>
    <s v="Galaxy S21"/>
  </r>
  <r>
    <n v="1162"/>
    <n v="5"/>
    <n v="9"/>
    <n v="2022"/>
    <s v="Monday"/>
    <x v="1"/>
    <n v="9"/>
    <n v="11183.54"/>
    <s v="Nikhil Chaudhary"/>
    <n v="26"/>
    <x v="1"/>
    <s v="UPI"/>
    <n v="1"/>
    <s v="Vivo Y51"/>
  </r>
  <r>
    <n v="1163"/>
    <n v="6"/>
    <n v="9"/>
    <n v="2022"/>
    <s v="Tuesday"/>
    <x v="2"/>
    <n v="1"/>
    <n v="18110.98"/>
    <s v="Rajesh Kulkarni"/>
    <n v="43"/>
    <x v="1"/>
    <s v="UPI"/>
    <n v="5"/>
    <s v="OnePlus 8T"/>
  </r>
  <r>
    <n v="1164"/>
    <n v="6"/>
    <n v="9"/>
    <n v="2022"/>
    <s v="Tuesday"/>
    <x v="0"/>
    <n v="3"/>
    <n v="51711.79"/>
    <s v="Namita Patel"/>
    <n v="19"/>
    <x v="2"/>
    <s v="Cash"/>
    <n v="4"/>
    <s v="Redmi 9"/>
  </r>
  <r>
    <n v="1165"/>
    <n v="6"/>
    <n v="9"/>
    <n v="2022"/>
    <s v="Tuesday"/>
    <x v="4"/>
    <n v="5"/>
    <n v="17215.060000000001"/>
    <s v="Krishna Joshi"/>
    <n v="28"/>
    <x v="4"/>
    <s v="Cash"/>
    <n v="4"/>
    <s v="iPhone 11"/>
  </r>
  <r>
    <n v="1166"/>
    <n v="6"/>
    <n v="9"/>
    <n v="2022"/>
    <s v="Tuesday"/>
    <x v="2"/>
    <n v="3"/>
    <n v="23844.06"/>
    <s v="Isha Singh"/>
    <n v="34"/>
    <x v="2"/>
    <s v="Credit Card"/>
    <n v="1"/>
    <s v="OnePlus 8T"/>
  </r>
  <r>
    <n v="1167"/>
    <n v="7"/>
    <n v="9"/>
    <n v="2022"/>
    <s v="Wednesday"/>
    <x v="1"/>
    <n v="4"/>
    <n v="31044.240000000002"/>
    <s v="Rohan Sheth"/>
    <n v="51"/>
    <x v="7"/>
    <s v="Cash"/>
    <n v="3"/>
    <s v="Vivo Y51"/>
  </r>
  <r>
    <n v="1168"/>
    <n v="7"/>
    <n v="9"/>
    <n v="2022"/>
    <s v="Wednesday"/>
    <x v="0"/>
    <n v="3"/>
    <n v="55464.1"/>
    <s v="Radha Kaur"/>
    <n v="36"/>
    <x v="17"/>
    <s v="Debit Card"/>
    <n v="5"/>
    <s v="Redmi 9"/>
  </r>
  <r>
    <n v="1169"/>
    <n v="7"/>
    <n v="9"/>
    <n v="2022"/>
    <s v="Wednesday"/>
    <x v="0"/>
    <n v="4"/>
    <n v="44944.06"/>
    <s v="Meena Prasad"/>
    <n v="56"/>
    <x v="2"/>
    <s v="Cash"/>
    <n v="3"/>
    <s v="Redmi Note 10"/>
  </r>
  <r>
    <n v="1170"/>
    <n v="8"/>
    <n v="9"/>
    <n v="2022"/>
    <s v="Thursday"/>
    <x v="4"/>
    <n v="1"/>
    <n v="51340"/>
    <s v="Pooja Joshi"/>
    <n v="35"/>
    <x v="2"/>
    <s v="UPI"/>
    <n v="4"/>
    <s v="iPhone SE"/>
  </r>
  <r>
    <n v="1171"/>
    <n v="8"/>
    <n v="9"/>
    <n v="2022"/>
    <s v="Thursday"/>
    <x v="3"/>
    <n v="8"/>
    <n v="44020.74"/>
    <s v="Pankaj Singh"/>
    <n v="30"/>
    <x v="3"/>
    <s v="UPI"/>
    <n v="5"/>
    <s v="Galaxy S21"/>
  </r>
  <r>
    <n v="1172"/>
    <n v="8"/>
    <n v="9"/>
    <n v="2022"/>
    <s v="Thursday"/>
    <x v="1"/>
    <n v="4"/>
    <n v="51015.55"/>
    <s v="Anand Pillai"/>
    <n v="22"/>
    <x v="13"/>
    <s v="UPI"/>
    <n v="5"/>
    <s v="Vivo Y51"/>
  </r>
  <r>
    <n v="1173"/>
    <n v="8"/>
    <n v="9"/>
    <n v="2022"/>
    <s v="Thursday"/>
    <x v="4"/>
    <n v="7"/>
    <n v="10170.530000000001"/>
    <s v="Vijay Siddiqui"/>
    <n v="40"/>
    <x v="1"/>
    <s v="Debit Card"/>
    <n v="5"/>
    <s v="iPhone 12"/>
  </r>
  <r>
    <n v="1174"/>
    <n v="9"/>
    <n v="9"/>
    <n v="2022"/>
    <s v="Friday"/>
    <x v="1"/>
    <n v="2"/>
    <n v="65853.89"/>
    <s v="Rajesh Ahuja"/>
    <n v="41"/>
    <x v="3"/>
    <s v="Debit Card"/>
    <n v="5"/>
    <s v="Vivo S1"/>
  </r>
  <r>
    <n v="1175"/>
    <n v="9"/>
    <n v="9"/>
    <n v="2022"/>
    <s v="Friday"/>
    <x v="3"/>
    <n v="2"/>
    <n v="16655.21"/>
    <s v="Anjali Thakur"/>
    <n v="46"/>
    <x v="13"/>
    <s v="Credit Card"/>
    <n v="4"/>
    <s v="Galaxy S21"/>
  </r>
  <r>
    <n v="1176"/>
    <n v="9"/>
    <n v="9"/>
    <n v="2022"/>
    <s v="Friday"/>
    <x v="3"/>
    <n v="6"/>
    <n v="34374.949999999997"/>
    <s v="Sunil Rawat"/>
    <n v="25"/>
    <x v="2"/>
    <s v="Cash"/>
    <n v="1"/>
    <s v="Galaxy S21"/>
  </r>
  <r>
    <n v="1177"/>
    <n v="9"/>
    <n v="9"/>
    <n v="2022"/>
    <s v="Friday"/>
    <x v="4"/>
    <n v="2"/>
    <n v="56262.3"/>
    <s v="Kavita Rawat"/>
    <n v="43"/>
    <x v="4"/>
    <s v="Credit Card"/>
    <n v="3"/>
    <s v="iPhone 11"/>
  </r>
  <r>
    <n v="1178"/>
    <n v="10"/>
    <n v="9"/>
    <n v="2022"/>
    <s v="Saturday"/>
    <x v="3"/>
    <n v="6"/>
    <n v="36113.839999999997"/>
    <s v="Kiran Gupta"/>
    <n v="32"/>
    <x v="1"/>
    <s v="Cash"/>
    <n v="3"/>
    <s v="Galaxy S21"/>
  </r>
  <r>
    <n v="1179"/>
    <n v="10"/>
    <n v="9"/>
    <n v="2022"/>
    <s v="Saturday"/>
    <x v="2"/>
    <n v="2"/>
    <n v="66810.55"/>
    <s v="Lata Verma"/>
    <n v="18"/>
    <x v="1"/>
    <s v="Cash"/>
    <n v="1"/>
    <s v="OnePlus 9"/>
  </r>
  <r>
    <n v="1180"/>
    <n v="10"/>
    <n v="9"/>
    <n v="2022"/>
    <s v="Saturday"/>
    <x v="0"/>
    <n v="4"/>
    <n v="38055.339999999997"/>
    <s v="Meena Patel"/>
    <n v="45"/>
    <x v="1"/>
    <s v="Debit Card"/>
    <n v="1"/>
    <s v="Mi 11"/>
  </r>
  <r>
    <n v="1181"/>
    <n v="11"/>
    <n v="9"/>
    <n v="2022"/>
    <s v="Sunday"/>
    <x v="4"/>
    <n v="7"/>
    <n v="62496.36"/>
    <s v="Rohan Thakur"/>
    <n v="31"/>
    <x v="1"/>
    <s v="UPI"/>
    <n v="5"/>
    <s v="iPhone SE"/>
  </r>
  <r>
    <n v="1182"/>
    <n v="11"/>
    <n v="9"/>
    <n v="2022"/>
    <s v="Sunday"/>
    <x v="1"/>
    <n v="8"/>
    <n v="58649.69"/>
    <s v="Mala Ghosh"/>
    <n v="59"/>
    <x v="14"/>
    <s v="Cash"/>
    <n v="1"/>
    <s v="Vivo Y51"/>
  </r>
  <r>
    <n v="1183"/>
    <n v="11"/>
    <n v="9"/>
    <n v="2022"/>
    <s v="Sunday"/>
    <x v="2"/>
    <n v="3"/>
    <n v="68859.179999999993"/>
    <s v="Lalita Siddiqui"/>
    <n v="51"/>
    <x v="1"/>
    <s v="Debit Card"/>
    <n v="5"/>
    <s v="OnePlus 9"/>
  </r>
  <r>
    <n v="1184"/>
    <n v="12"/>
    <n v="9"/>
    <n v="2022"/>
    <s v="Monday"/>
    <x v="4"/>
    <n v="9"/>
    <n v="65592.87"/>
    <s v="Sachin Iyer"/>
    <n v="48"/>
    <x v="8"/>
    <s v="Credit Card"/>
    <n v="5"/>
    <s v="iPhone 11"/>
  </r>
  <r>
    <n v="1185"/>
    <n v="12"/>
    <n v="9"/>
    <n v="2022"/>
    <s v="Monday"/>
    <x v="3"/>
    <n v="2"/>
    <n v="63887.43"/>
    <s v="Sunita Singh"/>
    <n v="23"/>
    <x v="6"/>
    <s v="UPI"/>
    <n v="4"/>
    <s v="Galaxy Note 20"/>
  </r>
  <r>
    <n v="1186"/>
    <n v="12"/>
    <n v="9"/>
    <n v="2022"/>
    <s v="Monday"/>
    <x v="3"/>
    <n v="8"/>
    <n v="53896.26"/>
    <s v="Kiran Ghosh"/>
    <n v="22"/>
    <x v="1"/>
    <s v="Credit Card"/>
    <n v="5"/>
    <s v="Galaxy S21"/>
  </r>
  <r>
    <n v="1187"/>
    <n v="12"/>
    <n v="9"/>
    <n v="2022"/>
    <s v="Monday"/>
    <x v="3"/>
    <n v="8"/>
    <n v="32019.89"/>
    <s v="Shruti Shah"/>
    <n v="48"/>
    <x v="1"/>
    <s v="Credit Card"/>
    <n v="5"/>
    <s v="Galaxy A51"/>
  </r>
  <r>
    <n v="1188"/>
    <n v="13"/>
    <n v="9"/>
    <n v="2022"/>
    <s v="Tuesday"/>
    <x v="3"/>
    <n v="4"/>
    <n v="16367.53"/>
    <s v="Amit Goyal"/>
    <n v="54"/>
    <x v="0"/>
    <s v="Debit Card"/>
    <n v="3"/>
    <s v="Galaxy Note 20"/>
  </r>
  <r>
    <n v="1189"/>
    <n v="13"/>
    <n v="9"/>
    <n v="2022"/>
    <s v="Tuesday"/>
    <x v="1"/>
    <n v="1"/>
    <n v="51318.7"/>
    <s v="Pooja Goyal"/>
    <n v="32"/>
    <x v="1"/>
    <s v="UPI"/>
    <n v="1"/>
    <s v="Vivo S1"/>
  </r>
  <r>
    <n v="1190"/>
    <n v="13"/>
    <n v="9"/>
    <n v="2022"/>
    <s v="Tuesday"/>
    <x v="2"/>
    <n v="1"/>
    <n v="68719.240000000005"/>
    <s v="Sunil Jain"/>
    <n v="32"/>
    <x v="13"/>
    <s v="Cash"/>
    <n v="5"/>
    <s v="OnePlus 8T"/>
  </r>
  <r>
    <n v="1191"/>
    <n v="13"/>
    <n v="9"/>
    <n v="2022"/>
    <s v="Tuesday"/>
    <x v="0"/>
    <n v="2"/>
    <n v="53596.27"/>
    <s v="Pankaj Bhattacharya"/>
    <n v="22"/>
    <x v="17"/>
    <s v="Credit Card"/>
    <n v="1"/>
    <s v="Redmi Note 10"/>
  </r>
  <r>
    <n v="1192"/>
    <n v="14"/>
    <n v="9"/>
    <n v="2022"/>
    <s v="Wednesday"/>
    <x v="1"/>
    <n v="9"/>
    <n v="65723.759999999995"/>
    <s v="Bhavana Bhatnagar"/>
    <n v="45"/>
    <x v="1"/>
    <s v="Cash"/>
    <n v="3"/>
    <s v="Vivo V20"/>
  </r>
  <r>
    <n v="1193"/>
    <n v="14"/>
    <n v="9"/>
    <n v="2022"/>
    <s v="Wednesday"/>
    <x v="1"/>
    <n v="2"/>
    <n v="58258.28"/>
    <s v="Navin Gupta"/>
    <n v="50"/>
    <x v="0"/>
    <s v="UPI"/>
    <n v="1"/>
    <s v="Vivo Y51"/>
  </r>
  <r>
    <n v="1194"/>
    <n v="14"/>
    <n v="9"/>
    <n v="2022"/>
    <s v="Wednesday"/>
    <x v="0"/>
    <n v="2"/>
    <n v="19786.88"/>
    <s v="Krishna Mehta"/>
    <n v="28"/>
    <x v="1"/>
    <s v="Debit Card"/>
    <n v="5"/>
    <s v="Mi 11"/>
  </r>
  <r>
    <n v="1195"/>
    <n v="15"/>
    <n v="9"/>
    <n v="2022"/>
    <s v="Thursday"/>
    <x v="0"/>
    <n v="6"/>
    <n v="24952.23"/>
    <s v="Sunita Sheth"/>
    <n v="23"/>
    <x v="3"/>
    <s v="Debit Card"/>
    <n v="1"/>
    <s v="Mi 11"/>
  </r>
  <r>
    <n v="1196"/>
    <n v="15"/>
    <n v="9"/>
    <n v="2022"/>
    <s v="Thursday"/>
    <x v="3"/>
    <n v="7"/>
    <n v="30511.94"/>
    <s v="Lalita Nambiar"/>
    <n v="40"/>
    <x v="18"/>
    <s v="Debit Card"/>
    <n v="3"/>
    <s v="Galaxy S21"/>
  </r>
  <r>
    <n v="1197"/>
    <n v="15"/>
    <n v="9"/>
    <n v="2022"/>
    <s v="Thursday"/>
    <x v="1"/>
    <n v="7"/>
    <n v="20095.63"/>
    <s v="Sunil Dutta"/>
    <n v="57"/>
    <x v="1"/>
    <s v="Cash"/>
    <n v="5"/>
    <s v="Vivo Y51"/>
  </r>
  <r>
    <n v="1198"/>
    <n v="15"/>
    <n v="9"/>
    <n v="2022"/>
    <s v="Thursday"/>
    <x v="4"/>
    <n v="9"/>
    <n v="44899.08"/>
    <s v="Manoj Nambiar"/>
    <n v="19"/>
    <x v="16"/>
    <s v="Cash"/>
    <n v="1"/>
    <s v="iPhone 12"/>
  </r>
  <r>
    <n v="1199"/>
    <n v="16"/>
    <n v="9"/>
    <n v="2022"/>
    <s v="Friday"/>
    <x v="0"/>
    <n v="6"/>
    <n v="68527.03"/>
    <s v="Radha Gupta"/>
    <n v="32"/>
    <x v="7"/>
    <s v="UPI"/>
    <n v="3"/>
    <s v="Mi 11"/>
  </r>
  <r>
    <n v="1200"/>
    <n v="16"/>
    <n v="9"/>
    <n v="2022"/>
    <s v="Friday"/>
    <x v="0"/>
    <n v="8"/>
    <n v="55687.53"/>
    <s v="Priya Bhattacharya"/>
    <n v="40"/>
    <x v="18"/>
    <s v="Cash"/>
    <n v="3"/>
    <s v="Redmi Note 10"/>
  </r>
  <r>
    <n v="1201"/>
    <n v="16"/>
    <n v="9"/>
    <n v="2022"/>
    <s v="Friday"/>
    <x v="2"/>
    <n v="6"/>
    <n v="35403.199999999997"/>
    <s v="Reena Arora"/>
    <n v="39"/>
    <x v="12"/>
    <s v="Debit Card"/>
    <n v="5"/>
    <s v="OnePlus 8T"/>
  </r>
  <r>
    <n v="1202"/>
    <n v="17"/>
    <n v="9"/>
    <n v="2022"/>
    <s v="Saturday"/>
    <x v="4"/>
    <n v="2"/>
    <n v="10270.27"/>
    <s v="Deepika Iyer"/>
    <n v="26"/>
    <x v="2"/>
    <s v="Credit Card"/>
    <n v="5"/>
    <s v="iPhone SE"/>
  </r>
  <r>
    <n v="1203"/>
    <n v="17"/>
    <n v="9"/>
    <n v="2022"/>
    <s v="Saturday"/>
    <x v="4"/>
    <n v="1"/>
    <n v="28796.560000000001"/>
    <s v="Vinod Nair"/>
    <n v="57"/>
    <x v="1"/>
    <s v="Credit Card"/>
    <n v="5"/>
    <s v="iPhone SE"/>
  </r>
  <r>
    <n v="1204"/>
    <n v="17"/>
    <n v="9"/>
    <n v="2022"/>
    <s v="Saturday"/>
    <x v="0"/>
    <n v="5"/>
    <n v="41605.56"/>
    <s v="Rajesh Ghosh"/>
    <n v="47"/>
    <x v="2"/>
    <s v="Credit Card"/>
    <n v="1"/>
    <s v="Redmi Note 10"/>
  </r>
  <r>
    <n v="1205"/>
    <n v="17"/>
    <n v="9"/>
    <n v="2022"/>
    <s v="Saturday"/>
    <x v="3"/>
    <n v="9"/>
    <n v="29455.05"/>
    <s v="Arun Gupta"/>
    <n v="33"/>
    <x v="13"/>
    <s v="Debit Card"/>
    <n v="5"/>
    <s v="Galaxy Note 20"/>
  </r>
  <r>
    <n v="1206"/>
    <n v="18"/>
    <n v="9"/>
    <n v="2022"/>
    <s v="Sunday"/>
    <x v="2"/>
    <n v="8"/>
    <n v="16662.099999999999"/>
    <s v="Mala Thakur"/>
    <n v="47"/>
    <x v="1"/>
    <s v="Cash"/>
    <n v="5"/>
    <s v="OnePlus Nord"/>
  </r>
  <r>
    <n v="1207"/>
    <n v="18"/>
    <n v="9"/>
    <n v="2022"/>
    <s v="Sunday"/>
    <x v="4"/>
    <n v="4"/>
    <n v="36565.9"/>
    <s v="Nikhil Solanki"/>
    <n v="26"/>
    <x v="1"/>
    <s v="Credit Card"/>
    <n v="3"/>
    <s v="iPhone 11"/>
  </r>
  <r>
    <n v="1208"/>
    <n v="18"/>
    <n v="9"/>
    <n v="2022"/>
    <s v="Sunday"/>
    <x v="0"/>
    <n v="5"/>
    <n v="25195.17"/>
    <s v="Priyanka Menon"/>
    <n v="18"/>
    <x v="14"/>
    <s v="Cash"/>
    <n v="5"/>
    <s v="Mi 11"/>
  </r>
  <r>
    <n v="1209"/>
    <n v="19"/>
    <n v="9"/>
    <n v="2022"/>
    <s v="Monday"/>
    <x v="4"/>
    <n v="5"/>
    <n v="64553.94"/>
    <s v="Ayesha Sheth"/>
    <n v="55"/>
    <x v="17"/>
    <s v="Cash"/>
    <n v="5"/>
    <s v="iPhone 11"/>
  </r>
  <r>
    <n v="1210"/>
    <n v="19"/>
    <n v="9"/>
    <n v="2022"/>
    <s v="Monday"/>
    <x v="2"/>
    <n v="6"/>
    <n v="16105.27"/>
    <s v="Meena Roy"/>
    <n v="25"/>
    <x v="2"/>
    <s v="Debit Card"/>
    <n v="4"/>
    <s v="OnePlus Nord"/>
  </r>
  <r>
    <n v="1211"/>
    <n v="19"/>
    <n v="9"/>
    <n v="2022"/>
    <s v="Monday"/>
    <x v="2"/>
    <n v="3"/>
    <n v="12949.16"/>
    <s v="Nikhil Solanki"/>
    <n v="35"/>
    <x v="9"/>
    <s v="Cash"/>
    <n v="3"/>
    <s v="OnePlus 9"/>
  </r>
  <r>
    <n v="1212"/>
    <n v="20"/>
    <n v="9"/>
    <n v="2022"/>
    <s v="Tuesday"/>
    <x v="1"/>
    <n v="5"/>
    <n v="10318.85"/>
    <s v="Ayesha Sheth"/>
    <n v="44"/>
    <x v="1"/>
    <s v="Cash"/>
    <n v="5"/>
    <s v="Vivo S1"/>
  </r>
  <r>
    <n v="1213"/>
    <n v="20"/>
    <n v="9"/>
    <n v="2022"/>
    <s v="Tuesday"/>
    <x v="0"/>
    <n v="2"/>
    <n v="29684.18"/>
    <s v="Ayesha Siddiqui"/>
    <n v="35"/>
    <x v="16"/>
    <s v="Debit Card"/>
    <n v="3"/>
    <s v="Redmi Note 10"/>
  </r>
  <r>
    <n v="1214"/>
    <n v="20"/>
    <n v="9"/>
    <n v="2022"/>
    <s v="Tuesday"/>
    <x v="2"/>
    <n v="1"/>
    <n v="49623.21"/>
    <s v="Vivek Siddiqui"/>
    <n v="49"/>
    <x v="12"/>
    <s v="UPI"/>
    <n v="1"/>
    <s v="OnePlus Nord"/>
  </r>
  <r>
    <n v="1215"/>
    <n v="21"/>
    <n v="9"/>
    <n v="2022"/>
    <s v="Wednesday"/>
    <x v="1"/>
    <n v="1"/>
    <n v="53824.83"/>
    <s v="Prashant Verma"/>
    <n v="49"/>
    <x v="1"/>
    <s v="Credit Card"/>
    <n v="3"/>
    <s v="Vivo Y51"/>
  </r>
  <r>
    <n v="1216"/>
    <n v="21"/>
    <n v="9"/>
    <n v="2022"/>
    <s v="Wednesday"/>
    <x v="1"/>
    <n v="7"/>
    <n v="37195.699999999997"/>
    <s v="Gita Mehta"/>
    <n v="53"/>
    <x v="12"/>
    <s v="Credit Card"/>
    <n v="5"/>
    <s v="Vivo Y51"/>
  </r>
  <r>
    <n v="1217"/>
    <n v="21"/>
    <n v="9"/>
    <n v="2022"/>
    <s v="Wednesday"/>
    <x v="4"/>
    <n v="2"/>
    <n v="51059.72"/>
    <s v="Rajesh Chatterjee"/>
    <n v="53"/>
    <x v="18"/>
    <s v="Cash"/>
    <n v="1"/>
    <s v="iPhone 11"/>
  </r>
  <r>
    <n v="1218"/>
    <n v="21"/>
    <n v="9"/>
    <n v="2022"/>
    <s v="Wednesday"/>
    <x v="4"/>
    <n v="4"/>
    <n v="31594.84"/>
    <s v="Pankaj Pathak"/>
    <n v="38"/>
    <x v="3"/>
    <s v="UPI"/>
    <n v="1"/>
    <s v="iPhone SE"/>
  </r>
  <r>
    <n v="1219"/>
    <n v="22"/>
    <n v="9"/>
    <n v="2022"/>
    <s v="Thursday"/>
    <x v="1"/>
    <n v="5"/>
    <n v="50068.37"/>
    <s v="Sunil Gupta"/>
    <n v="49"/>
    <x v="7"/>
    <s v="Debit Card"/>
    <n v="1"/>
    <s v="Vivo S1"/>
  </r>
  <r>
    <n v="1220"/>
    <n v="22"/>
    <n v="9"/>
    <n v="2022"/>
    <s v="Thursday"/>
    <x v="4"/>
    <n v="7"/>
    <n v="12435.76"/>
    <s v="Manoj Kaur"/>
    <n v="48"/>
    <x v="15"/>
    <s v="Cash"/>
    <n v="4"/>
    <s v="iPhone 12"/>
  </r>
  <r>
    <n v="1221"/>
    <n v="22"/>
    <n v="9"/>
    <n v="2022"/>
    <s v="Thursday"/>
    <x v="2"/>
    <n v="2"/>
    <n v="33445.18"/>
    <s v="Tapan Mathur"/>
    <n v="54"/>
    <x v="5"/>
    <s v="Debit Card"/>
    <n v="4"/>
    <s v="OnePlus Nord"/>
  </r>
  <r>
    <n v="1222"/>
    <n v="22"/>
    <n v="9"/>
    <n v="2022"/>
    <s v="Thursday"/>
    <x v="3"/>
    <n v="6"/>
    <n v="57450.98"/>
    <s v="Manoj Sharma"/>
    <n v="33"/>
    <x v="3"/>
    <s v="Credit Card"/>
    <n v="1"/>
    <s v="Galaxy S21"/>
  </r>
  <r>
    <n v="1223"/>
    <n v="23"/>
    <n v="9"/>
    <n v="2022"/>
    <s v="Friday"/>
    <x v="2"/>
    <n v="1"/>
    <n v="58180.36"/>
    <s v="Prashant Chatterjee"/>
    <n v="31"/>
    <x v="15"/>
    <s v="Debit Card"/>
    <n v="5"/>
    <s v="OnePlus Nord"/>
  </r>
  <r>
    <n v="1224"/>
    <n v="23"/>
    <n v="9"/>
    <n v="2022"/>
    <s v="Friday"/>
    <x v="1"/>
    <n v="7"/>
    <n v="52968.93"/>
    <s v="Jyoti Varma"/>
    <n v="41"/>
    <x v="9"/>
    <s v="Credit Card"/>
    <n v="1"/>
    <s v="Vivo Y51"/>
  </r>
  <r>
    <n v="1225"/>
    <n v="23"/>
    <n v="9"/>
    <n v="2022"/>
    <s v="Friday"/>
    <x v="1"/>
    <n v="9"/>
    <n v="22254.32"/>
    <s v="Lalita Rathod"/>
    <n v="42"/>
    <x v="7"/>
    <s v="Debit Card"/>
    <n v="1"/>
    <s v="Vivo S1"/>
  </r>
  <r>
    <n v="1226"/>
    <n v="24"/>
    <n v="9"/>
    <n v="2022"/>
    <s v="Saturday"/>
    <x v="2"/>
    <n v="5"/>
    <n v="24832.31"/>
    <s v="Vivek Teja"/>
    <n v="52"/>
    <x v="13"/>
    <s v="Debit Card"/>
    <n v="3"/>
    <s v="OnePlus 8T"/>
  </r>
  <r>
    <n v="1227"/>
    <n v="24"/>
    <n v="9"/>
    <n v="2022"/>
    <s v="Saturday"/>
    <x v="4"/>
    <n v="5"/>
    <n v="69765.320000000007"/>
    <s v="Sumit Malhotra"/>
    <n v="34"/>
    <x v="6"/>
    <s v="UPI"/>
    <n v="3"/>
    <s v="iPhone SE"/>
  </r>
  <r>
    <n v="1228"/>
    <n v="24"/>
    <n v="9"/>
    <n v="2022"/>
    <s v="Saturday"/>
    <x v="4"/>
    <n v="4"/>
    <n v="16202.68"/>
    <s v="Anjali Chaudhary"/>
    <n v="59"/>
    <x v="7"/>
    <s v="Debit Card"/>
    <n v="3"/>
    <s v="iPhone 12"/>
  </r>
  <r>
    <n v="1229"/>
    <n v="24"/>
    <n v="9"/>
    <n v="2022"/>
    <s v="Saturday"/>
    <x v="1"/>
    <n v="3"/>
    <n v="20839.759999999998"/>
    <s v="Lata Chaudhary"/>
    <n v="21"/>
    <x v="15"/>
    <s v="Cash"/>
    <n v="5"/>
    <s v="Vivo S1"/>
  </r>
  <r>
    <n v="1230"/>
    <n v="25"/>
    <n v="9"/>
    <n v="2022"/>
    <s v="Sunday"/>
    <x v="0"/>
    <n v="9"/>
    <n v="17801.580000000002"/>
    <s v="Ayesha Luthra"/>
    <n v="28"/>
    <x v="16"/>
    <s v="UPI"/>
    <n v="3"/>
    <s v="Mi 11"/>
  </r>
  <r>
    <n v="1231"/>
    <n v="25"/>
    <n v="9"/>
    <n v="2022"/>
    <s v="Sunday"/>
    <x v="4"/>
    <n v="5"/>
    <n v="29659.3"/>
    <s v="Vinod Prasad"/>
    <n v="32"/>
    <x v="1"/>
    <s v="Cash"/>
    <n v="3"/>
    <s v="iPhone SE"/>
  </r>
  <r>
    <n v="1232"/>
    <n v="25"/>
    <n v="9"/>
    <n v="2022"/>
    <s v="Sunday"/>
    <x v="2"/>
    <n v="8"/>
    <n v="22610.55"/>
    <s v="Umesh Dutta"/>
    <n v="47"/>
    <x v="1"/>
    <s v="Debit Card"/>
    <n v="5"/>
    <s v="OnePlus 9"/>
  </r>
  <r>
    <n v="1233"/>
    <n v="26"/>
    <n v="9"/>
    <n v="2022"/>
    <s v="Monday"/>
    <x v="4"/>
    <n v="9"/>
    <n v="39861.279999999999"/>
    <s v="Radha Alva"/>
    <n v="41"/>
    <x v="16"/>
    <s v="Debit Card"/>
    <n v="4"/>
    <s v="iPhone 12"/>
  </r>
  <r>
    <n v="1234"/>
    <n v="26"/>
    <n v="9"/>
    <n v="2022"/>
    <s v="Monday"/>
    <x v="2"/>
    <n v="5"/>
    <n v="38561.24"/>
    <s v="Lata Reddy"/>
    <n v="19"/>
    <x v="10"/>
    <s v="UPI"/>
    <n v="4"/>
    <s v="OnePlus 9"/>
  </r>
  <r>
    <n v="1235"/>
    <n v="26"/>
    <n v="9"/>
    <n v="2022"/>
    <s v="Monday"/>
    <x v="1"/>
    <n v="9"/>
    <n v="64090.34"/>
    <s v="Vivek Mathur"/>
    <n v="51"/>
    <x v="2"/>
    <s v="Credit Card"/>
    <n v="4"/>
    <s v="Vivo V20"/>
  </r>
  <r>
    <n v="1236"/>
    <n v="27"/>
    <n v="9"/>
    <n v="2022"/>
    <s v="Tuesday"/>
    <x v="4"/>
    <n v="2"/>
    <n v="12084.4"/>
    <s v="Bhavana Prasad"/>
    <n v="40"/>
    <x v="1"/>
    <s v="UPI"/>
    <n v="5"/>
    <s v="iPhone SE"/>
  </r>
  <r>
    <n v="1237"/>
    <n v="27"/>
    <n v="9"/>
    <n v="2022"/>
    <s v="Tuesday"/>
    <x v="2"/>
    <n v="9"/>
    <n v="29192.77"/>
    <s v="Umesh Varma"/>
    <n v="48"/>
    <x v="7"/>
    <s v="Credit Card"/>
    <n v="1"/>
    <s v="OnePlus 9"/>
  </r>
  <r>
    <n v="1238"/>
    <n v="27"/>
    <n v="9"/>
    <n v="2022"/>
    <s v="Tuesday"/>
    <x v="1"/>
    <n v="4"/>
    <n v="45799.47"/>
    <s v="Krishna Rathod"/>
    <n v="54"/>
    <x v="1"/>
    <s v="Credit Card"/>
    <n v="3"/>
    <s v="Vivo S1"/>
  </r>
  <r>
    <n v="1239"/>
    <n v="27"/>
    <n v="9"/>
    <n v="2022"/>
    <s v="Tuesday"/>
    <x v="0"/>
    <n v="6"/>
    <n v="46288.11"/>
    <s v="Ravi Varma"/>
    <n v="30"/>
    <x v="12"/>
    <s v="Debit Card"/>
    <n v="5"/>
    <s v="Redmi 9"/>
  </r>
  <r>
    <n v="1240"/>
    <n v="28"/>
    <n v="9"/>
    <n v="2022"/>
    <s v="Wednesday"/>
    <x v="2"/>
    <n v="6"/>
    <n v="38807.57"/>
    <s v="Prashant Das"/>
    <n v="50"/>
    <x v="1"/>
    <s v="Cash"/>
    <n v="5"/>
    <s v="OnePlus Nord"/>
  </r>
  <r>
    <n v="1241"/>
    <n v="28"/>
    <n v="9"/>
    <n v="2022"/>
    <s v="Wednesday"/>
    <x v="0"/>
    <n v="6"/>
    <n v="58939.93"/>
    <s v="Yogesh Rao"/>
    <n v="24"/>
    <x v="1"/>
    <s v="UPI"/>
    <n v="4"/>
    <s v="Redmi Note 10"/>
  </r>
  <r>
    <n v="1242"/>
    <n v="28"/>
    <n v="9"/>
    <n v="2022"/>
    <s v="Wednesday"/>
    <x v="0"/>
    <n v="2"/>
    <n v="13763.33"/>
    <s v="Mala Thakur"/>
    <n v="49"/>
    <x v="6"/>
    <s v="UPI"/>
    <n v="5"/>
    <s v="Redmi Note 10"/>
  </r>
  <r>
    <n v="1243"/>
    <n v="28"/>
    <n v="9"/>
    <n v="2022"/>
    <s v="Wednesday"/>
    <x v="3"/>
    <n v="7"/>
    <n v="58929.27"/>
    <s v="Tapan Chatterjee"/>
    <n v="24"/>
    <x v="1"/>
    <s v="Debit Card"/>
    <n v="5"/>
    <s v="Galaxy A51"/>
  </r>
  <r>
    <n v="1244"/>
    <n v="29"/>
    <n v="9"/>
    <n v="2022"/>
    <s v="Thursday"/>
    <x v="4"/>
    <n v="6"/>
    <n v="39685.25"/>
    <s v="Sachin Rao"/>
    <n v="59"/>
    <x v="7"/>
    <s v="Debit Card"/>
    <n v="5"/>
    <s v="iPhone SE"/>
  </r>
  <r>
    <n v="1245"/>
    <n v="29"/>
    <n v="9"/>
    <n v="2022"/>
    <s v="Thursday"/>
    <x v="2"/>
    <n v="1"/>
    <n v="18025.64"/>
    <s v="Sunita Mehta"/>
    <n v="55"/>
    <x v="1"/>
    <s v="UPI"/>
    <n v="4"/>
    <s v="OnePlus Nord"/>
  </r>
  <r>
    <n v="1246"/>
    <n v="29"/>
    <n v="9"/>
    <n v="2022"/>
    <s v="Thursday"/>
    <x v="0"/>
    <n v="2"/>
    <n v="63142.11"/>
    <s v="Arun Kumar"/>
    <n v="30"/>
    <x v="10"/>
    <s v="UPI"/>
    <n v="1"/>
    <s v="Mi 11"/>
  </r>
  <r>
    <n v="1247"/>
    <n v="30"/>
    <n v="9"/>
    <n v="2022"/>
    <s v="Friday"/>
    <x v="3"/>
    <n v="7"/>
    <n v="48953.73"/>
    <s v="Aditya Iyer"/>
    <n v="41"/>
    <x v="13"/>
    <s v="Cash"/>
    <n v="4"/>
    <s v="Galaxy Note 20"/>
  </r>
  <r>
    <n v="1248"/>
    <n v="30"/>
    <n v="9"/>
    <n v="2022"/>
    <s v="Friday"/>
    <x v="1"/>
    <n v="1"/>
    <n v="19812.740000000002"/>
    <s v="Anita Arora"/>
    <n v="45"/>
    <x v="0"/>
    <s v="Debit Card"/>
    <n v="4"/>
    <s v="Vivo V20"/>
  </r>
  <r>
    <n v="1249"/>
    <n v="30"/>
    <n v="9"/>
    <n v="2022"/>
    <s v="Friday"/>
    <x v="2"/>
    <n v="1"/>
    <n v="12018.98"/>
    <s v="Pankaj Teja"/>
    <n v="49"/>
    <x v="2"/>
    <s v="Cash"/>
    <n v="4"/>
    <s v="OnePlus 8T"/>
  </r>
  <r>
    <n v="1250"/>
    <n v="30"/>
    <n v="9"/>
    <n v="2022"/>
    <s v="Friday"/>
    <x v="0"/>
    <n v="1"/>
    <n v="18466.580000000002"/>
    <s v="Kavita Ahuja"/>
    <n v="35"/>
    <x v="1"/>
    <s v="Debit Card"/>
    <n v="5"/>
    <s v="Redmi 9"/>
  </r>
  <r>
    <n v="1251"/>
    <n v="1"/>
    <n v="10"/>
    <n v="2022"/>
    <s v="Saturday"/>
    <x v="4"/>
    <n v="8"/>
    <n v="46527.88"/>
    <s v="Sneha Arora"/>
    <n v="51"/>
    <x v="7"/>
    <s v="Debit Card"/>
    <n v="5"/>
    <s v="iPhone SE"/>
  </r>
  <r>
    <n v="1252"/>
    <n v="1"/>
    <n v="10"/>
    <n v="2022"/>
    <s v="Saturday"/>
    <x v="3"/>
    <n v="4"/>
    <n v="20757.77"/>
    <s v="Yogesh Patel"/>
    <n v="51"/>
    <x v="1"/>
    <s v="Cash"/>
    <n v="4"/>
    <s v="Galaxy S21"/>
  </r>
  <r>
    <n v="1253"/>
    <n v="1"/>
    <n v="10"/>
    <n v="2022"/>
    <s v="Saturday"/>
    <x v="0"/>
    <n v="4"/>
    <n v="23545.78"/>
    <s v="Radha Ghosh"/>
    <n v="55"/>
    <x v="1"/>
    <s v="Credit Card"/>
    <n v="5"/>
    <s v="Redmi Note 10"/>
  </r>
  <r>
    <n v="1254"/>
    <n v="1"/>
    <n v="10"/>
    <n v="2022"/>
    <s v="Saturday"/>
    <x v="4"/>
    <n v="2"/>
    <n v="11508.38"/>
    <s v="Lalita Bhatnagar"/>
    <n v="18"/>
    <x v="7"/>
    <s v="Credit Card"/>
    <n v="5"/>
    <s v="iPhone 11"/>
  </r>
  <r>
    <n v="1255"/>
    <n v="2"/>
    <n v="10"/>
    <n v="2022"/>
    <s v="Sunday"/>
    <x v="0"/>
    <n v="1"/>
    <n v="53375.839999999997"/>
    <s v="Pankaj Teja"/>
    <n v="59"/>
    <x v="7"/>
    <s v="Credit Card"/>
    <n v="1"/>
    <s v="Redmi 9"/>
  </r>
  <r>
    <n v="1256"/>
    <n v="2"/>
    <n v="10"/>
    <n v="2022"/>
    <s v="Sunday"/>
    <x v="2"/>
    <n v="9"/>
    <n v="58621.86"/>
    <s v="Umesh Rawat"/>
    <n v="48"/>
    <x v="1"/>
    <s v="Debit Card"/>
    <n v="4"/>
    <s v="OnePlus 9"/>
  </r>
  <r>
    <n v="1257"/>
    <n v="2"/>
    <n v="10"/>
    <n v="2022"/>
    <s v="Sunday"/>
    <x v="2"/>
    <n v="7"/>
    <n v="57810.89"/>
    <s v="Prashant Arora"/>
    <n v="18"/>
    <x v="18"/>
    <s v="Cash"/>
    <n v="3"/>
    <s v="OnePlus 9"/>
  </r>
  <r>
    <n v="1258"/>
    <n v="3"/>
    <n v="10"/>
    <n v="2022"/>
    <s v="Monday"/>
    <x v="2"/>
    <n v="4"/>
    <n v="17654.09"/>
    <s v="Prashant Rathod"/>
    <n v="33"/>
    <x v="15"/>
    <s v="Credit Card"/>
    <n v="5"/>
    <s v="OnePlus 8T"/>
  </r>
  <r>
    <n v="1259"/>
    <n v="3"/>
    <n v="10"/>
    <n v="2022"/>
    <s v="Monday"/>
    <x v="3"/>
    <n v="6"/>
    <n v="64198.07"/>
    <s v="Sumit Sharma"/>
    <n v="56"/>
    <x v="15"/>
    <s v="UPI"/>
    <n v="1"/>
    <s v="Galaxy S21"/>
  </r>
  <r>
    <n v="1260"/>
    <n v="3"/>
    <n v="10"/>
    <n v="2022"/>
    <s v="Monday"/>
    <x v="2"/>
    <n v="2"/>
    <n v="50336.73"/>
    <s v="Tanuja Dutta"/>
    <n v="32"/>
    <x v="3"/>
    <s v="Credit Card"/>
    <n v="1"/>
    <s v="OnePlus 8T"/>
  </r>
  <r>
    <n v="1261"/>
    <n v="4"/>
    <n v="10"/>
    <n v="2022"/>
    <s v="Tuesday"/>
    <x v="4"/>
    <n v="7"/>
    <n v="63851.72"/>
    <s v="Sanjay Ghosh"/>
    <n v="50"/>
    <x v="1"/>
    <s v="Cash"/>
    <n v="1"/>
    <s v="iPhone SE"/>
  </r>
  <r>
    <n v="1262"/>
    <n v="4"/>
    <n v="10"/>
    <n v="2022"/>
    <s v="Tuesday"/>
    <x v="0"/>
    <n v="2"/>
    <n v="36829.629999999997"/>
    <s v="Meena Yadav"/>
    <n v="40"/>
    <x v="2"/>
    <s v="Debit Card"/>
    <n v="5"/>
    <s v="Mi 11"/>
  </r>
  <r>
    <n v="1263"/>
    <n v="4"/>
    <n v="10"/>
    <n v="2022"/>
    <s v="Tuesday"/>
    <x v="1"/>
    <n v="8"/>
    <n v="36217.29"/>
    <s v="Radha Nair"/>
    <n v="58"/>
    <x v="0"/>
    <s v="Cash"/>
    <n v="5"/>
    <s v="Vivo V20"/>
  </r>
  <r>
    <n v="1264"/>
    <n v="4"/>
    <n v="10"/>
    <n v="2022"/>
    <s v="Tuesday"/>
    <x v="4"/>
    <n v="8"/>
    <n v="57072.19"/>
    <s v="Radha Mathur"/>
    <n v="51"/>
    <x v="14"/>
    <s v="Debit Card"/>
    <n v="3"/>
    <s v="iPhone 11"/>
  </r>
  <r>
    <n v="1265"/>
    <n v="5"/>
    <n v="10"/>
    <n v="2022"/>
    <s v="Wednesday"/>
    <x v="4"/>
    <n v="1"/>
    <n v="15597.87"/>
    <s v="Lalita Bhatnagar"/>
    <n v="34"/>
    <x v="12"/>
    <s v="Cash"/>
    <n v="5"/>
    <s v="iPhone 11"/>
  </r>
  <r>
    <n v="1266"/>
    <n v="5"/>
    <n v="10"/>
    <n v="2022"/>
    <s v="Wednesday"/>
    <x v="2"/>
    <n v="8"/>
    <n v="41252.44"/>
    <s v="Anita Dutta"/>
    <n v="42"/>
    <x v="7"/>
    <s v="Cash"/>
    <n v="4"/>
    <s v="OnePlus Nord"/>
  </r>
  <r>
    <n v="1267"/>
    <n v="5"/>
    <n v="10"/>
    <n v="2022"/>
    <s v="Wednesday"/>
    <x v="3"/>
    <n v="2"/>
    <n v="60183.05"/>
    <s v="Pankaj Prasad"/>
    <n v="59"/>
    <x v="2"/>
    <s v="UPI"/>
    <n v="3"/>
    <s v="Galaxy Note 20"/>
  </r>
  <r>
    <n v="1268"/>
    <n v="6"/>
    <n v="10"/>
    <n v="2022"/>
    <s v="Thursday"/>
    <x v="0"/>
    <n v="6"/>
    <n v="59811.55"/>
    <s v="Anita Mishra"/>
    <n v="23"/>
    <x v="6"/>
    <s v="Credit Card"/>
    <n v="5"/>
    <s v="Redmi Note 10"/>
  </r>
  <r>
    <n v="1269"/>
    <n v="6"/>
    <n v="10"/>
    <n v="2022"/>
    <s v="Thursday"/>
    <x v="3"/>
    <n v="1"/>
    <n v="67367.97"/>
    <s v="Sunil Rao"/>
    <n v="48"/>
    <x v="9"/>
    <s v="Credit Card"/>
    <n v="4"/>
    <s v="Galaxy S21"/>
  </r>
  <r>
    <n v="1270"/>
    <n v="6"/>
    <n v="10"/>
    <n v="2022"/>
    <s v="Thursday"/>
    <x v="0"/>
    <n v="5"/>
    <n v="51896.36"/>
    <s v="Vivek Rawat"/>
    <n v="22"/>
    <x v="13"/>
    <s v="Cash"/>
    <n v="3"/>
    <s v="Redmi 9"/>
  </r>
  <r>
    <n v="1271"/>
    <n v="7"/>
    <n v="10"/>
    <n v="2022"/>
    <s v="Friday"/>
    <x v="0"/>
    <n v="7"/>
    <n v="22466.240000000002"/>
    <s v="Isha Ahuja"/>
    <n v="57"/>
    <x v="7"/>
    <s v="Credit Card"/>
    <n v="5"/>
    <s v="Redmi 9"/>
  </r>
  <r>
    <n v="1272"/>
    <n v="7"/>
    <n v="10"/>
    <n v="2022"/>
    <s v="Friday"/>
    <x v="3"/>
    <n v="1"/>
    <n v="11216.82"/>
    <s v="Priya Reddy"/>
    <n v="57"/>
    <x v="2"/>
    <s v="UPI"/>
    <n v="4"/>
    <s v="Galaxy A51"/>
  </r>
  <r>
    <n v="1273"/>
    <n v="7"/>
    <n v="10"/>
    <n v="2022"/>
    <s v="Friday"/>
    <x v="4"/>
    <n v="2"/>
    <n v="38764.949999999997"/>
    <s v="Sumit Nambiar"/>
    <n v="47"/>
    <x v="1"/>
    <s v="Cash"/>
    <n v="5"/>
    <s v="iPhone 12"/>
  </r>
  <r>
    <n v="1274"/>
    <n v="7"/>
    <n v="10"/>
    <n v="2022"/>
    <s v="Friday"/>
    <x v="0"/>
    <n v="7"/>
    <n v="40822.230000000003"/>
    <s v="Manoj Kulkarni"/>
    <n v="22"/>
    <x v="2"/>
    <s v="Credit Card"/>
    <n v="3"/>
    <s v="Mi 11"/>
  </r>
  <r>
    <n v="1275"/>
    <n v="8"/>
    <n v="10"/>
    <n v="2022"/>
    <s v="Saturday"/>
    <x v="3"/>
    <n v="6"/>
    <n v="24415.759999999998"/>
    <s v="Yogesh Roy"/>
    <n v="29"/>
    <x v="13"/>
    <s v="Credit Card"/>
    <n v="4"/>
    <s v="Galaxy S21"/>
  </r>
  <r>
    <n v="1276"/>
    <n v="8"/>
    <n v="10"/>
    <n v="2022"/>
    <s v="Saturday"/>
    <x v="0"/>
    <n v="3"/>
    <n v="17481.849999999999"/>
    <s v="Harish Sharma"/>
    <n v="24"/>
    <x v="10"/>
    <s v="Debit Card"/>
    <n v="4"/>
    <s v="Redmi Note 10"/>
  </r>
  <r>
    <n v="1277"/>
    <n v="8"/>
    <n v="10"/>
    <n v="2022"/>
    <s v="Saturday"/>
    <x v="1"/>
    <n v="2"/>
    <n v="45172.49"/>
    <s v="Sumit Dutta"/>
    <n v="30"/>
    <x v="2"/>
    <s v="Credit Card"/>
    <n v="5"/>
    <s v="Vivo S1"/>
  </r>
  <r>
    <n v="1278"/>
    <n v="9"/>
    <n v="10"/>
    <n v="2022"/>
    <s v="Sunday"/>
    <x v="4"/>
    <n v="4"/>
    <n v="55855.34"/>
    <s v="Pooja Sharma"/>
    <n v="21"/>
    <x v="1"/>
    <s v="Credit Card"/>
    <n v="4"/>
    <s v="iPhone SE"/>
  </r>
  <r>
    <n v="1279"/>
    <n v="9"/>
    <n v="10"/>
    <n v="2022"/>
    <s v="Sunday"/>
    <x v="2"/>
    <n v="3"/>
    <n v="69589.25"/>
    <s v="Isha Nair"/>
    <n v="59"/>
    <x v="1"/>
    <s v="Debit Card"/>
    <n v="3"/>
    <s v="OnePlus 8T"/>
  </r>
  <r>
    <n v="1280"/>
    <n v="9"/>
    <n v="10"/>
    <n v="2022"/>
    <s v="Sunday"/>
    <x v="0"/>
    <n v="7"/>
    <n v="55498.16"/>
    <s v="Ayesha Bhattacharya"/>
    <n v="20"/>
    <x v="15"/>
    <s v="Cash"/>
    <n v="1"/>
    <s v="Mi 11"/>
  </r>
  <r>
    <n v="1281"/>
    <n v="10"/>
    <n v="10"/>
    <n v="2022"/>
    <s v="Monday"/>
    <x v="1"/>
    <n v="8"/>
    <n v="57617.94"/>
    <s v="Umesh Bhattacharya"/>
    <n v="29"/>
    <x v="14"/>
    <s v="Cash"/>
    <n v="3"/>
    <s v="Vivo Y51"/>
  </r>
  <r>
    <n v="1282"/>
    <n v="10"/>
    <n v="10"/>
    <n v="2022"/>
    <s v="Monday"/>
    <x v="2"/>
    <n v="2"/>
    <n v="46987.65"/>
    <s v="Lata Mathur"/>
    <n v="18"/>
    <x v="1"/>
    <s v="UPI"/>
    <n v="3"/>
    <s v="OnePlus 8T"/>
  </r>
  <r>
    <n v="1283"/>
    <n v="10"/>
    <n v="10"/>
    <n v="2022"/>
    <s v="Monday"/>
    <x v="2"/>
    <n v="7"/>
    <n v="69155.360000000001"/>
    <s v="Anita Mehta"/>
    <n v="44"/>
    <x v="1"/>
    <s v="Debit Card"/>
    <n v="5"/>
    <s v="OnePlus 9"/>
  </r>
  <r>
    <n v="1284"/>
    <n v="10"/>
    <n v="10"/>
    <n v="2022"/>
    <s v="Monday"/>
    <x v="0"/>
    <n v="8"/>
    <n v="48397.38"/>
    <s v="Sanjay Joshi"/>
    <n v="30"/>
    <x v="18"/>
    <s v="Cash"/>
    <n v="5"/>
    <s v="Mi 11"/>
  </r>
  <r>
    <n v="1285"/>
    <n v="11"/>
    <n v="10"/>
    <n v="2022"/>
    <s v="Tuesday"/>
    <x v="3"/>
    <n v="6"/>
    <n v="61615.199999999997"/>
    <s v="Isha Kaur"/>
    <n v="34"/>
    <x v="5"/>
    <s v="Credit Card"/>
    <n v="4"/>
    <s v="Galaxy S21"/>
  </r>
  <r>
    <n v="1286"/>
    <n v="11"/>
    <n v="10"/>
    <n v="2022"/>
    <s v="Tuesday"/>
    <x v="0"/>
    <n v="6"/>
    <n v="66747.08"/>
    <s v="Meena Dutta"/>
    <n v="25"/>
    <x v="5"/>
    <s v="Credit Card"/>
    <n v="5"/>
    <s v="Redmi Note 10"/>
  </r>
  <r>
    <n v="1287"/>
    <n v="11"/>
    <n v="10"/>
    <n v="2022"/>
    <s v="Tuesday"/>
    <x v="1"/>
    <n v="1"/>
    <n v="65791.509999999995"/>
    <s v="Neeta Menon"/>
    <n v="49"/>
    <x v="1"/>
    <s v="Credit Card"/>
    <n v="4"/>
    <s v="Vivo Y51"/>
  </r>
  <r>
    <n v="1288"/>
    <n v="11"/>
    <n v="10"/>
    <n v="2022"/>
    <s v="Tuesday"/>
    <x v="2"/>
    <n v="4"/>
    <n v="32884.92"/>
    <s v="Bina Mathur"/>
    <n v="37"/>
    <x v="2"/>
    <s v="UPI"/>
    <n v="1"/>
    <s v="OnePlus 8T"/>
  </r>
  <r>
    <n v="1289"/>
    <n v="12"/>
    <n v="10"/>
    <n v="2022"/>
    <s v="Wednesday"/>
    <x v="0"/>
    <n v="1"/>
    <n v="14719.72"/>
    <s v="Neeta Mishra"/>
    <n v="34"/>
    <x v="4"/>
    <s v="Cash"/>
    <n v="5"/>
    <s v="Redmi Note 10"/>
  </r>
  <r>
    <n v="1290"/>
    <n v="12"/>
    <n v="10"/>
    <n v="2022"/>
    <s v="Wednesday"/>
    <x v="3"/>
    <n v="4"/>
    <n v="20312.419999999998"/>
    <s v="Sunil Chaudhary"/>
    <n v="51"/>
    <x v="1"/>
    <s v="Debit Card"/>
    <n v="5"/>
    <s v="Galaxy A51"/>
  </r>
  <r>
    <n v="1291"/>
    <n v="12"/>
    <n v="10"/>
    <n v="2022"/>
    <s v="Wednesday"/>
    <x v="0"/>
    <n v="2"/>
    <n v="13553.4"/>
    <s v="Sneha Prasad"/>
    <n v="52"/>
    <x v="2"/>
    <s v="Cash"/>
    <n v="5"/>
    <s v="Mi 11"/>
  </r>
  <r>
    <n v="1292"/>
    <n v="13"/>
    <n v="10"/>
    <n v="2022"/>
    <s v="Thursday"/>
    <x v="4"/>
    <n v="5"/>
    <n v="16323.82"/>
    <s v="Isha Arora"/>
    <n v="52"/>
    <x v="10"/>
    <s v="Debit Card"/>
    <n v="1"/>
    <s v="iPhone SE"/>
  </r>
  <r>
    <n v="1293"/>
    <n v="13"/>
    <n v="10"/>
    <n v="2022"/>
    <s v="Thursday"/>
    <x v="3"/>
    <n v="9"/>
    <n v="21079.07"/>
    <s v="Priyanka Pathak"/>
    <n v="55"/>
    <x v="2"/>
    <s v="Debit Card"/>
    <n v="5"/>
    <s v="Galaxy S21"/>
  </r>
  <r>
    <n v="1294"/>
    <n v="13"/>
    <n v="10"/>
    <n v="2022"/>
    <s v="Thursday"/>
    <x v="1"/>
    <n v="3"/>
    <n v="30465.66"/>
    <s v="Deepika Verma"/>
    <n v="59"/>
    <x v="2"/>
    <s v="Cash"/>
    <n v="1"/>
    <s v="Vivo S1"/>
  </r>
  <r>
    <n v="1295"/>
    <n v="14"/>
    <n v="10"/>
    <n v="2022"/>
    <s v="Friday"/>
    <x v="2"/>
    <n v="8"/>
    <n v="42612.38"/>
    <s v="Bhavana Luthra"/>
    <n v="41"/>
    <x v="17"/>
    <s v="Credit Card"/>
    <n v="4"/>
    <s v="OnePlus 9"/>
  </r>
  <r>
    <n v="1296"/>
    <n v="14"/>
    <n v="10"/>
    <n v="2022"/>
    <s v="Friday"/>
    <x v="0"/>
    <n v="3"/>
    <n v="52700.92"/>
    <s v="Sunita Luthra"/>
    <n v="35"/>
    <x v="2"/>
    <s v="Credit Card"/>
    <n v="5"/>
    <s v="Redmi 9"/>
  </r>
  <r>
    <n v="1297"/>
    <n v="14"/>
    <n v="10"/>
    <n v="2022"/>
    <s v="Friday"/>
    <x v="3"/>
    <n v="6"/>
    <n v="22655.64"/>
    <s v="Aditya Joshi"/>
    <n v="56"/>
    <x v="1"/>
    <s v="Debit Card"/>
    <n v="5"/>
    <s v="Galaxy A51"/>
  </r>
  <r>
    <n v="1298"/>
    <n v="14"/>
    <n v="10"/>
    <n v="2022"/>
    <s v="Friday"/>
    <x v="4"/>
    <n v="4"/>
    <n v="50351.34"/>
    <s v="Kiran Nair"/>
    <n v="50"/>
    <x v="0"/>
    <s v="Credit Card"/>
    <n v="4"/>
    <s v="iPhone SE"/>
  </r>
  <r>
    <n v="1299"/>
    <n v="15"/>
    <n v="10"/>
    <n v="2022"/>
    <s v="Saturday"/>
    <x v="3"/>
    <n v="8"/>
    <n v="52255.54"/>
    <s v="Meena Das"/>
    <n v="40"/>
    <x v="14"/>
    <s v="UPI"/>
    <n v="5"/>
    <s v="Galaxy S21"/>
  </r>
  <r>
    <n v="1300"/>
    <n v="15"/>
    <n v="10"/>
    <n v="2022"/>
    <s v="Saturday"/>
    <x v="4"/>
    <n v="6"/>
    <n v="43517.34"/>
    <s v="Pankaj Nambiar"/>
    <n v="42"/>
    <x v="5"/>
    <s v="UPI"/>
    <n v="3"/>
    <s v="iPhone 12"/>
  </r>
  <r>
    <n v="1301"/>
    <n v="15"/>
    <n v="10"/>
    <n v="2022"/>
    <s v="Saturday"/>
    <x v="1"/>
    <n v="8"/>
    <n v="64217.07"/>
    <s v="Sumit Siddiqui"/>
    <n v="54"/>
    <x v="1"/>
    <s v="Debit Card"/>
    <n v="1"/>
    <s v="Vivo V20"/>
  </r>
  <r>
    <n v="1302"/>
    <n v="15"/>
    <n v="10"/>
    <n v="2022"/>
    <s v="Saturday"/>
    <x v="2"/>
    <n v="1"/>
    <n v="16659.689999999999"/>
    <s v="Ayesha Solanki"/>
    <n v="44"/>
    <x v="16"/>
    <s v="Credit Card"/>
    <n v="5"/>
    <s v="OnePlus 8T"/>
  </r>
  <r>
    <n v="1303"/>
    <n v="16"/>
    <n v="10"/>
    <n v="2022"/>
    <s v="Sunday"/>
    <x v="1"/>
    <n v="6"/>
    <n v="20627.29"/>
    <s v="Sneha Malhotra"/>
    <n v="18"/>
    <x v="7"/>
    <s v="Debit Card"/>
    <n v="3"/>
    <s v="Vivo V20"/>
  </r>
  <r>
    <n v="1304"/>
    <n v="16"/>
    <n v="10"/>
    <n v="2022"/>
    <s v="Sunday"/>
    <x v="0"/>
    <n v="1"/>
    <n v="35719.89"/>
    <s v="Lalita Rao"/>
    <n v="38"/>
    <x v="12"/>
    <s v="UPI"/>
    <n v="5"/>
    <s v="Mi 11"/>
  </r>
  <r>
    <n v="1305"/>
    <n v="16"/>
    <n v="10"/>
    <n v="2022"/>
    <s v="Sunday"/>
    <x v="3"/>
    <n v="1"/>
    <n v="17602.759999999998"/>
    <s v="Kiran Siddiqui"/>
    <n v="27"/>
    <x v="2"/>
    <s v="UPI"/>
    <n v="3"/>
    <s v="Galaxy S21"/>
  </r>
  <r>
    <n v="1306"/>
    <n v="16"/>
    <n v="10"/>
    <n v="2022"/>
    <s v="Sunday"/>
    <x v="4"/>
    <n v="8"/>
    <n v="43977.77"/>
    <s v="Neeta Singh"/>
    <n v="48"/>
    <x v="11"/>
    <s v="UPI"/>
    <n v="3"/>
    <s v="iPhone 11"/>
  </r>
  <r>
    <n v="1307"/>
    <n v="17"/>
    <n v="10"/>
    <n v="2022"/>
    <s v="Monday"/>
    <x v="4"/>
    <n v="7"/>
    <n v="33904.03"/>
    <s v="Vivek Siddiqui"/>
    <n v="42"/>
    <x v="2"/>
    <s v="Cash"/>
    <n v="3"/>
    <s v="iPhone SE"/>
  </r>
  <r>
    <n v="1308"/>
    <n v="17"/>
    <n v="10"/>
    <n v="2022"/>
    <s v="Monday"/>
    <x v="3"/>
    <n v="3"/>
    <n v="27075.75"/>
    <s v="Vinod Nambiar"/>
    <n v="37"/>
    <x v="13"/>
    <s v="UPI"/>
    <n v="1"/>
    <s v="Galaxy A51"/>
  </r>
  <r>
    <n v="1309"/>
    <n v="17"/>
    <n v="10"/>
    <n v="2022"/>
    <s v="Monday"/>
    <x v="3"/>
    <n v="6"/>
    <n v="20199.39"/>
    <s v="Vinod Nambiar"/>
    <n v="19"/>
    <x v="9"/>
    <s v="Credit Card"/>
    <n v="5"/>
    <s v="Galaxy S21"/>
  </r>
  <r>
    <n v="1310"/>
    <n v="17"/>
    <n v="10"/>
    <n v="2022"/>
    <s v="Monday"/>
    <x v="0"/>
    <n v="9"/>
    <n v="30120.29"/>
    <s v="Krishna Menon"/>
    <n v="32"/>
    <x v="2"/>
    <s v="Cash"/>
    <n v="4"/>
    <s v="Mi 11"/>
  </r>
  <r>
    <n v="1311"/>
    <n v="18"/>
    <n v="10"/>
    <n v="2022"/>
    <s v="Tuesday"/>
    <x v="1"/>
    <n v="7"/>
    <n v="46477.56"/>
    <s v="Shruti Sharma"/>
    <n v="45"/>
    <x v="12"/>
    <s v="UPI"/>
    <n v="4"/>
    <s v="Vivo S1"/>
  </r>
  <r>
    <n v="1312"/>
    <n v="18"/>
    <n v="10"/>
    <n v="2022"/>
    <s v="Tuesday"/>
    <x v="4"/>
    <n v="3"/>
    <n v="44547.11"/>
    <s v="Nikhil Varma"/>
    <n v="30"/>
    <x v="18"/>
    <s v="Credit Card"/>
    <n v="5"/>
    <s v="iPhone SE"/>
  </r>
  <r>
    <n v="1313"/>
    <n v="18"/>
    <n v="10"/>
    <n v="2022"/>
    <s v="Tuesday"/>
    <x v="0"/>
    <n v="6"/>
    <n v="19817.439999999999"/>
    <s v="Nikhil Kapoor"/>
    <n v="31"/>
    <x v="2"/>
    <s v="UPI"/>
    <n v="1"/>
    <s v="Mi 11"/>
  </r>
  <r>
    <n v="1314"/>
    <n v="19"/>
    <n v="10"/>
    <n v="2022"/>
    <s v="Wednesday"/>
    <x v="1"/>
    <n v="4"/>
    <n v="17495.189999999999"/>
    <s v="Arun Luthra"/>
    <n v="19"/>
    <x v="7"/>
    <s v="Credit Card"/>
    <n v="1"/>
    <s v="Vivo V20"/>
  </r>
  <r>
    <n v="1315"/>
    <n v="19"/>
    <n v="10"/>
    <n v="2022"/>
    <s v="Wednesday"/>
    <x v="0"/>
    <n v="3"/>
    <n v="11600.61"/>
    <s v="Manoj Kulkarni"/>
    <n v="51"/>
    <x v="1"/>
    <s v="Credit Card"/>
    <n v="1"/>
    <s v="Redmi 9"/>
  </r>
  <r>
    <n v="1316"/>
    <n v="19"/>
    <n v="10"/>
    <n v="2022"/>
    <s v="Wednesday"/>
    <x v="4"/>
    <n v="9"/>
    <n v="10745.54"/>
    <s v="Ayesha Luthra"/>
    <n v="52"/>
    <x v="12"/>
    <s v="UPI"/>
    <n v="3"/>
    <s v="iPhone 12"/>
  </r>
  <r>
    <n v="1317"/>
    <n v="19"/>
    <n v="10"/>
    <n v="2022"/>
    <s v="Wednesday"/>
    <x v="3"/>
    <n v="2"/>
    <n v="62788.63"/>
    <s v="Ayesha Ghosh"/>
    <n v="54"/>
    <x v="6"/>
    <s v="UPI"/>
    <n v="1"/>
    <s v="Galaxy S21"/>
  </r>
  <r>
    <n v="1318"/>
    <n v="20"/>
    <n v="10"/>
    <n v="2022"/>
    <s v="Thursday"/>
    <x v="3"/>
    <n v="1"/>
    <n v="12705.33"/>
    <s v="Namita Nambiar"/>
    <n v="42"/>
    <x v="10"/>
    <s v="Cash"/>
    <n v="4"/>
    <s v="Galaxy Note 20"/>
  </r>
  <r>
    <n v="1319"/>
    <n v="20"/>
    <n v="10"/>
    <n v="2022"/>
    <s v="Thursday"/>
    <x v="1"/>
    <n v="2"/>
    <n v="53873.27"/>
    <s v="Nikhil Deshmukh"/>
    <n v="32"/>
    <x v="7"/>
    <s v="UPI"/>
    <n v="1"/>
    <s v="Vivo Y51"/>
  </r>
  <r>
    <n v="1320"/>
    <n v="20"/>
    <n v="10"/>
    <n v="2022"/>
    <s v="Thursday"/>
    <x v="2"/>
    <n v="7"/>
    <n v="62319.11"/>
    <s v="Neeta Solanki"/>
    <n v="29"/>
    <x v="2"/>
    <s v="Credit Card"/>
    <n v="3"/>
    <s v="OnePlus Nord"/>
  </r>
  <r>
    <n v="1321"/>
    <n v="20"/>
    <n v="10"/>
    <n v="2022"/>
    <s v="Thursday"/>
    <x v="1"/>
    <n v="1"/>
    <n v="15883.47"/>
    <s v="Kiran Goyal"/>
    <n v="26"/>
    <x v="1"/>
    <s v="Debit Card"/>
    <n v="5"/>
    <s v="Vivo Y51"/>
  </r>
  <r>
    <n v="1322"/>
    <n v="21"/>
    <n v="10"/>
    <n v="2022"/>
    <s v="Friday"/>
    <x v="2"/>
    <n v="6"/>
    <n v="36178.089999999997"/>
    <s v="Anita Kumar"/>
    <n v="48"/>
    <x v="1"/>
    <s v="Cash"/>
    <n v="1"/>
    <s v="OnePlus Nord"/>
  </r>
  <r>
    <n v="1323"/>
    <n v="21"/>
    <n v="10"/>
    <n v="2022"/>
    <s v="Friday"/>
    <x v="0"/>
    <n v="7"/>
    <n v="67738.179999999993"/>
    <s v="Deepika Prasad"/>
    <n v="31"/>
    <x v="2"/>
    <s v="Credit Card"/>
    <n v="5"/>
    <s v="Redmi 9"/>
  </r>
  <r>
    <n v="1324"/>
    <n v="21"/>
    <n v="10"/>
    <n v="2022"/>
    <s v="Friday"/>
    <x v="0"/>
    <n v="9"/>
    <n v="60048.32"/>
    <s v="Monika Thakur"/>
    <n v="46"/>
    <x v="1"/>
    <s v="Credit Card"/>
    <n v="5"/>
    <s v="Redmi 9"/>
  </r>
  <r>
    <n v="1325"/>
    <n v="22"/>
    <n v="10"/>
    <n v="2022"/>
    <s v="Saturday"/>
    <x v="4"/>
    <n v="8"/>
    <n v="39382.239999999998"/>
    <s v="Aditya Joshi"/>
    <n v="55"/>
    <x v="2"/>
    <s v="Debit Card"/>
    <n v="3"/>
    <s v="iPhone 12"/>
  </r>
  <r>
    <n v="1326"/>
    <n v="22"/>
    <n v="10"/>
    <n v="2022"/>
    <s v="Saturday"/>
    <x v="2"/>
    <n v="6"/>
    <n v="55754.27"/>
    <s v="Reena Teja"/>
    <n v="59"/>
    <x v="8"/>
    <s v="UPI"/>
    <n v="1"/>
    <s v="OnePlus 9"/>
  </r>
  <r>
    <n v="1327"/>
    <n v="22"/>
    <n v="10"/>
    <n v="2022"/>
    <s v="Saturday"/>
    <x v="4"/>
    <n v="3"/>
    <n v="60002.66"/>
    <s v="Ayesha Thakur"/>
    <n v="25"/>
    <x v="2"/>
    <s v="Credit Card"/>
    <n v="5"/>
    <s v="iPhone 11"/>
  </r>
  <r>
    <n v="1328"/>
    <n v="22"/>
    <n v="10"/>
    <n v="2022"/>
    <s v="Saturday"/>
    <x v="3"/>
    <n v="8"/>
    <n v="30881.62"/>
    <s v="Anita Arora"/>
    <n v="20"/>
    <x v="12"/>
    <s v="Debit Card"/>
    <n v="5"/>
    <s v="Galaxy Note 20"/>
  </r>
  <r>
    <n v="1329"/>
    <n v="23"/>
    <n v="10"/>
    <n v="2022"/>
    <s v="Sunday"/>
    <x v="2"/>
    <n v="7"/>
    <n v="63529.18"/>
    <s v="Reena Patel"/>
    <n v="19"/>
    <x v="1"/>
    <s v="Debit Card"/>
    <n v="5"/>
    <s v="OnePlus Nord"/>
  </r>
  <r>
    <n v="1330"/>
    <n v="23"/>
    <n v="10"/>
    <n v="2022"/>
    <s v="Sunday"/>
    <x v="1"/>
    <n v="3"/>
    <n v="38228.400000000001"/>
    <s v="Krishna Iyer"/>
    <n v="33"/>
    <x v="2"/>
    <s v="UPI"/>
    <n v="4"/>
    <s v="Vivo S1"/>
  </r>
  <r>
    <n v="1331"/>
    <n v="23"/>
    <n v="10"/>
    <n v="2022"/>
    <s v="Sunday"/>
    <x v="3"/>
    <n v="9"/>
    <n v="41668.44"/>
    <s v="Ramesh Gupta"/>
    <n v="36"/>
    <x v="15"/>
    <s v="Debit Card"/>
    <n v="4"/>
    <s v="Galaxy S21"/>
  </r>
  <r>
    <n v="1332"/>
    <n v="24"/>
    <n v="10"/>
    <n v="2022"/>
    <s v="Monday"/>
    <x v="3"/>
    <n v="2"/>
    <n v="69982.460000000006"/>
    <s v="Anand Kaur"/>
    <n v="47"/>
    <x v="2"/>
    <s v="Debit Card"/>
    <n v="4"/>
    <s v="Galaxy S21"/>
  </r>
  <r>
    <n v="1333"/>
    <n v="24"/>
    <n v="10"/>
    <n v="2022"/>
    <s v="Monday"/>
    <x v="1"/>
    <n v="3"/>
    <n v="60598.18"/>
    <s v="Deepika Kulkarni"/>
    <n v="58"/>
    <x v="4"/>
    <s v="Debit Card"/>
    <n v="4"/>
    <s v="Vivo S1"/>
  </r>
  <r>
    <n v="1334"/>
    <n v="24"/>
    <n v="10"/>
    <n v="2022"/>
    <s v="Monday"/>
    <x v="3"/>
    <n v="2"/>
    <n v="31706.2"/>
    <s v="Amit Teja"/>
    <n v="33"/>
    <x v="1"/>
    <s v="Debit Card"/>
    <n v="3"/>
    <s v="Galaxy A51"/>
  </r>
  <r>
    <n v="1335"/>
    <n v="24"/>
    <n v="10"/>
    <n v="2022"/>
    <s v="Monday"/>
    <x v="2"/>
    <n v="1"/>
    <n v="10620.74"/>
    <s v="Sneha Malhotra"/>
    <n v="48"/>
    <x v="2"/>
    <s v="Debit Card"/>
    <n v="1"/>
    <s v="OnePlus 8T"/>
  </r>
  <r>
    <n v="1336"/>
    <n v="25"/>
    <n v="10"/>
    <n v="2022"/>
    <s v="Tuesday"/>
    <x v="4"/>
    <n v="4"/>
    <n v="47570.44"/>
    <s v="Pankaj Varma"/>
    <n v="45"/>
    <x v="9"/>
    <s v="Debit Card"/>
    <n v="1"/>
    <s v="iPhone SE"/>
  </r>
  <r>
    <n v="1337"/>
    <n v="25"/>
    <n v="10"/>
    <n v="2022"/>
    <s v="Tuesday"/>
    <x v="3"/>
    <n v="5"/>
    <n v="52234.81"/>
    <s v="Sneha Sharma"/>
    <n v="21"/>
    <x v="1"/>
    <s v="Credit Card"/>
    <n v="3"/>
    <s v="Galaxy A51"/>
  </r>
  <r>
    <n v="1338"/>
    <n v="25"/>
    <n v="10"/>
    <n v="2022"/>
    <s v="Tuesday"/>
    <x v="2"/>
    <n v="6"/>
    <n v="49048.160000000003"/>
    <s v="Prashant Das"/>
    <n v="27"/>
    <x v="17"/>
    <s v="Cash"/>
    <n v="5"/>
    <s v="OnePlus Nord"/>
  </r>
  <r>
    <n v="1339"/>
    <n v="25"/>
    <n v="10"/>
    <n v="2022"/>
    <s v="Tuesday"/>
    <x v="0"/>
    <n v="5"/>
    <n v="68071.740000000005"/>
    <s v="Ravi Varma"/>
    <n v="35"/>
    <x v="1"/>
    <s v="UPI"/>
    <n v="1"/>
    <s v="Redmi Note 10"/>
  </r>
  <r>
    <n v="1340"/>
    <n v="26"/>
    <n v="10"/>
    <n v="2022"/>
    <s v="Wednesday"/>
    <x v="2"/>
    <n v="1"/>
    <n v="61778.26"/>
    <s v="Radha Kapoor"/>
    <n v="49"/>
    <x v="1"/>
    <s v="Cash"/>
    <n v="5"/>
    <s v="OnePlus 9"/>
  </r>
  <r>
    <n v="1341"/>
    <n v="26"/>
    <n v="10"/>
    <n v="2022"/>
    <s v="Wednesday"/>
    <x v="4"/>
    <n v="3"/>
    <n v="36929.9"/>
    <s v="Namita Das"/>
    <n v="47"/>
    <x v="1"/>
    <s v="UPI"/>
    <n v="1"/>
    <s v="iPhone 11"/>
  </r>
  <r>
    <n v="1342"/>
    <n v="26"/>
    <n v="10"/>
    <n v="2022"/>
    <s v="Wednesday"/>
    <x v="2"/>
    <n v="1"/>
    <n v="13771.45"/>
    <s v="Ramesh Solanki"/>
    <n v="53"/>
    <x v="15"/>
    <s v="Cash"/>
    <n v="3"/>
    <s v="OnePlus 8T"/>
  </r>
  <r>
    <n v="1343"/>
    <n v="26"/>
    <n v="10"/>
    <n v="2022"/>
    <s v="Wednesday"/>
    <x v="1"/>
    <n v="5"/>
    <n v="38563.53"/>
    <s v="Deepika Verma"/>
    <n v="26"/>
    <x v="1"/>
    <s v="UPI"/>
    <n v="5"/>
    <s v="Vivo Y51"/>
  </r>
  <r>
    <n v="1344"/>
    <n v="27"/>
    <n v="10"/>
    <n v="2022"/>
    <s v="Thursday"/>
    <x v="4"/>
    <n v="5"/>
    <n v="51354.64"/>
    <s v="Priya Mathur"/>
    <n v="53"/>
    <x v="4"/>
    <s v="Debit Card"/>
    <n v="1"/>
    <s v="iPhone SE"/>
  </r>
  <r>
    <n v="1345"/>
    <n v="27"/>
    <n v="10"/>
    <n v="2022"/>
    <s v="Thursday"/>
    <x v="0"/>
    <n v="6"/>
    <n v="46462.59"/>
    <s v="Lata Mehta"/>
    <n v="46"/>
    <x v="13"/>
    <s v="Cash"/>
    <n v="3"/>
    <s v="Redmi 9"/>
  </r>
  <r>
    <n v="1346"/>
    <n v="27"/>
    <n v="10"/>
    <n v="2022"/>
    <s v="Thursday"/>
    <x v="1"/>
    <n v="8"/>
    <n v="42288.22"/>
    <s v="Prashant Gupta"/>
    <n v="33"/>
    <x v="15"/>
    <s v="Cash"/>
    <n v="5"/>
    <s v="Vivo V20"/>
  </r>
  <r>
    <n v="1347"/>
    <n v="28"/>
    <n v="10"/>
    <n v="2022"/>
    <s v="Friday"/>
    <x v="2"/>
    <n v="1"/>
    <n v="38129.14"/>
    <s v="Ramesh Kumar"/>
    <n v="45"/>
    <x v="2"/>
    <s v="UPI"/>
    <n v="4"/>
    <s v="OnePlus Nord"/>
  </r>
  <r>
    <n v="1348"/>
    <n v="28"/>
    <n v="10"/>
    <n v="2022"/>
    <s v="Friday"/>
    <x v="4"/>
    <n v="4"/>
    <n v="27625.71"/>
    <s v="Neeta Desai"/>
    <n v="38"/>
    <x v="1"/>
    <s v="UPI"/>
    <n v="5"/>
    <s v="iPhone SE"/>
  </r>
  <r>
    <n v="1349"/>
    <n v="28"/>
    <n v="10"/>
    <n v="2022"/>
    <s v="Friday"/>
    <x v="0"/>
    <n v="1"/>
    <n v="26640.81"/>
    <s v="Navin Verma"/>
    <n v="19"/>
    <x v="2"/>
    <s v="Credit Card"/>
    <n v="5"/>
    <s v="Redmi Note 10"/>
  </r>
  <r>
    <n v="1350"/>
    <n v="29"/>
    <n v="10"/>
    <n v="2022"/>
    <s v="Saturday"/>
    <x v="1"/>
    <n v="9"/>
    <n v="40013.89"/>
    <s v="Ayesha Roy"/>
    <n v="52"/>
    <x v="7"/>
    <s v="Debit Card"/>
    <n v="5"/>
    <s v="Vivo Y51"/>
  </r>
  <r>
    <n v="1351"/>
    <n v="29"/>
    <n v="10"/>
    <n v="2022"/>
    <s v="Saturday"/>
    <x v="0"/>
    <n v="7"/>
    <n v="19636.189999999999"/>
    <s v="Lalita Luthra"/>
    <n v="45"/>
    <x v="4"/>
    <s v="Debit Card"/>
    <n v="1"/>
    <s v="Redmi 9"/>
  </r>
  <r>
    <n v="1352"/>
    <n v="29"/>
    <n v="10"/>
    <n v="2022"/>
    <s v="Saturday"/>
    <x v="2"/>
    <n v="7"/>
    <n v="30441.13"/>
    <s v="Jyoti Sheth"/>
    <n v="53"/>
    <x v="2"/>
    <s v="Credit Card"/>
    <n v="4"/>
    <s v="OnePlus 9"/>
  </r>
  <r>
    <n v="1353"/>
    <n v="29"/>
    <n v="10"/>
    <n v="2022"/>
    <s v="Saturday"/>
    <x v="0"/>
    <n v="5"/>
    <n v="29438.76"/>
    <s v="Vinod Solanki"/>
    <n v="48"/>
    <x v="12"/>
    <s v="UPI"/>
    <n v="3"/>
    <s v="Redmi Note 10"/>
  </r>
  <r>
    <n v="1354"/>
    <n v="30"/>
    <n v="10"/>
    <n v="2022"/>
    <s v="Sunday"/>
    <x v="3"/>
    <n v="7"/>
    <n v="45227.97"/>
    <s v="Sneha Prasad"/>
    <n v="50"/>
    <x v="2"/>
    <s v="Debit Card"/>
    <n v="4"/>
    <s v="Galaxy Note 20"/>
  </r>
  <r>
    <n v="1355"/>
    <n v="30"/>
    <n v="10"/>
    <n v="2022"/>
    <s v="Sunday"/>
    <x v="1"/>
    <n v="2"/>
    <n v="14000.94"/>
    <s v="Rajesh Sheth"/>
    <n v="40"/>
    <x v="17"/>
    <s v="UPI"/>
    <n v="1"/>
    <s v="Vivo V20"/>
  </r>
  <r>
    <n v="1356"/>
    <n v="30"/>
    <n v="10"/>
    <n v="2022"/>
    <s v="Sunday"/>
    <x v="0"/>
    <n v="4"/>
    <n v="59780.12"/>
    <s v="Lata Patel"/>
    <n v="58"/>
    <x v="1"/>
    <s v="Debit Card"/>
    <n v="5"/>
    <s v="Mi 11"/>
  </r>
  <r>
    <n v="1357"/>
    <n v="31"/>
    <n v="10"/>
    <n v="2022"/>
    <s v="Monday"/>
    <x v="2"/>
    <n v="7"/>
    <n v="43742.7"/>
    <s v="Nikhil Kapoor"/>
    <n v="34"/>
    <x v="12"/>
    <s v="Cash"/>
    <n v="1"/>
    <s v="OnePlus 8T"/>
  </r>
  <r>
    <n v="1358"/>
    <n v="31"/>
    <n v="10"/>
    <n v="2022"/>
    <s v="Monday"/>
    <x v="2"/>
    <n v="3"/>
    <n v="50249.599999999999"/>
    <s v="Anita Joshi"/>
    <n v="18"/>
    <x v="7"/>
    <s v="Cash"/>
    <n v="3"/>
    <s v="OnePlus 8T"/>
  </r>
  <r>
    <n v="1359"/>
    <n v="31"/>
    <n v="10"/>
    <n v="2022"/>
    <s v="Monday"/>
    <x v="0"/>
    <n v="2"/>
    <n v="52185.63"/>
    <s v="Vinod Ahuja"/>
    <n v="59"/>
    <x v="2"/>
    <s v="Debit Card"/>
    <n v="4"/>
    <s v="Mi 11"/>
  </r>
  <r>
    <n v="1360"/>
    <n v="1"/>
    <n v="11"/>
    <n v="2022"/>
    <s v="Tuesday"/>
    <x v="2"/>
    <n v="2"/>
    <n v="27489.05"/>
    <s v="Anita Pillai"/>
    <n v="40"/>
    <x v="2"/>
    <s v="Debit Card"/>
    <n v="5"/>
    <s v="OnePlus 8T"/>
  </r>
  <r>
    <n v="1361"/>
    <n v="1"/>
    <n v="11"/>
    <n v="2022"/>
    <s v="Tuesday"/>
    <x v="4"/>
    <n v="1"/>
    <n v="38222.29"/>
    <s v="Kiran Chaudhary"/>
    <n v="44"/>
    <x v="2"/>
    <s v="Debit Card"/>
    <n v="1"/>
    <s v="iPhone 12"/>
  </r>
  <r>
    <n v="1362"/>
    <n v="1"/>
    <n v="11"/>
    <n v="2022"/>
    <s v="Tuesday"/>
    <x v="4"/>
    <n v="5"/>
    <n v="67374.759999999995"/>
    <s v="Deepika Patel"/>
    <n v="42"/>
    <x v="2"/>
    <s v="Credit Card"/>
    <n v="5"/>
    <s v="iPhone SE"/>
  </r>
  <r>
    <n v="1363"/>
    <n v="2"/>
    <n v="11"/>
    <n v="2022"/>
    <s v="Wednesday"/>
    <x v="4"/>
    <n v="6"/>
    <n v="56002.31"/>
    <s v="Umesh Nair"/>
    <n v="49"/>
    <x v="10"/>
    <s v="Debit Card"/>
    <n v="5"/>
    <s v="iPhone 11"/>
  </r>
  <r>
    <n v="1364"/>
    <n v="2"/>
    <n v="11"/>
    <n v="2022"/>
    <s v="Wednesday"/>
    <x v="3"/>
    <n v="6"/>
    <n v="68173.41"/>
    <s v="Radha Bhatnagar"/>
    <n v="36"/>
    <x v="15"/>
    <s v="Credit Card"/>
    <n v="4"/>
    <s v="Galaxy Note 20"/>
  </r>
  <r>
    <n v="1365"/>
    <n v="2"/>
    <n v="11"/>
    <n v="2022"/>
    <s v="Wednesday"/>
    <x v="0"/>
    <n v="9"/>
    <n v="54775.26"/>
    <s v="Monika Mehta"/>
    <n v="41"/>
    <x v="16"/>
    <s v="Credit Card"/>
    <n v="5"/>
    <s v="Redmi 9"/>
  </r>
  <r>
    <n v="1366"/>
    <n v="3"/>
    <n v="11"/>
    <n v="2022"/>
    <s v="Thursday"/>
    <x v="3"/>
    <n v="4"/>
    <n v="20536.009999999998"/>
    <s v="Pooja Kaur"/>
    <n v="20"/>
    <x v="2"/>
    <s v="Cash"/>
    <n v="3"/>
    <s v="Galaxy A51"/>
  </r>
  <r>
    <n v="1367"/>
    <n v="3"/>
    <n v="11"/>
    <n v="2022"/>
    <s v="Thursday"/>
    <x v="2"/>
    <n v="1"/>
    <n v="13872.15"/>
    <s v="Sneha Ghosh"/>
    <n v="29"/>
    <x v="11"/>
    <s v="Debit Card"/>
    <n v="5"/>
    <s v="OnePlus 8T"/>
  </r>
  <r>
    <n v="1368"/>
    <n v="3"/>
    <n v="11"/>
    <n v="2022"/>
    <s v="Thursday"/>
    <x v="3"/>
    <n v="6"/>
    <n v="44659.69"/>
    <s v="Navin Malhotra"/>
    <n v="52"/>
    <x v="5"/>
    <s v="Cash"/>
    <n v="4"/>
    <s v="Galaxy A51"/>
  </r>
  <r>
    <n v="1369"/>
    <n v="4"/>
    <n v="11"/>
    <n v="2022"/>
    <s v="Friday"/>
    <x v="2"/>
    <n v="5"/>
    <n v="31468.799999999999"/>
    <s v="Kavita Siddiqui"/>
    <n v="32"/>
    <x v="4"/>
    <s v="Cash"/>
    <n v="5"/>
    <s v="OnePlus 8T"/>
  </r>
  <r>
    <n v="1370"/>
    <n v="4"/>
    <n v="11"/>
    <n v="2022"/>
    <s v="Friday"/>
    <x v="2"/>
    <n v="6"/>
    <n v="26527.47"/>
    <s v="Ayesha Thakur"/>
    <n v="34"/>
    <x v="4"/>
    <s v="Credit Card"/>
    <n v="4"/>
    <s v="OnePlus 9"/>
  </r>
  <r>
    <n v="1371"/>
    <n v="4"/>
    <n v="11"/>
    <n v="2022"/>
    <s v="Friday"/>
    <x v="1"/>
    <n v="3"/>
    <n v="58432.66"/>
    <s v="Tapan Rawat"/>
    <n v="49"/>
    <x v="1"/>
    <s v="UPI"/>
    <n v="5"/>
    <s v="Vivo S1"/>
  </r>
  <r>
    <n v="1372"/>
    <n v="5"/>
    <n v="11"/>
    <n v="2022"/>
    <s v="Saturday"/>
    <x v="4"/>
    <n v="2"/>
    <n v="32019.599999999999"/>
    <s v="Monika Mathur"/>
    <n v="24"/>
    <x v="8"/>
    <s v="Credit Card"/>
    <n v="1"/>
    <s v="iPhone SE"/>
  </r>
  <r>
    <n v="1373"/>
    <n v="5"/>
    <n v="11"/>
    <n v="2022"/>
    <s v="Saturday"/>
    <x v="2"/>
    <n v="6"/>
    <n v="29020.06"/>
    <s v="Priyanka Jain"/>
    <n v="36"/>
    <x v="0"/>
    <s v="Cash"/>
    <n v="5"/>
    <s v="OnePlus 9"/>
  </r>
  <r>
    <n v="1374"/>
    <n v="5"/>
    <n v="11"/>
    <n v="2022"/>
    <s v="Saturday"/>
    <x v="1"/>
    <n v="1"/>
    <n v="60999.26"/>
    <s v="Mala Rawat"/>
    <n v="24"/>
    <x v="1"/>
    <s v="Credit Card"/>
    <n v="4"/>
    <s v="Vivo S1"/>
  </r>
  <r>
    <n v="1375"/>
    <n v="5"/>
    <n v="11"/>
    <n v="2022"/>
    <s v="Saturday"/>
    <x v="4"/>
    <n v="7"/>
    <n v="60777.24"/>
    <s v="Sunil Menon"/>
    <n v="22"/>
    <x v="7"/>
    <s v="Credit Card"/>
    <n v="4"/>
    <s v="iPhone 12"/>
  </r>
  <r>
    <n v="1376"/>
    <n v="6"/>
    <n v="11"/>
    <n v="2022"/>
    <s v="Sunday"/>
    <x v="2"/>
    <n v="7"/>
    <n v="31382"/>
    <s v="Lata Rawat"/>
    <n v="57"/>
    <x v="1"/>
    <s v="Credit Card"/>
    <n v="5"/>
    <s v="OnePlus 8T"/>
  </r>
  <r>
    <n v="1377"/>
    <n v="6"/>
    <n v="11"/>
    <n v="2022"/>
    <s v="Sunday"/>
    <x v="2"/>
    <n v="7"/>
    <n v="59949.919999999998"/>
    <s v="Prashant Arora"/>
    <n v="38"/>
    <x v="9"/>
    <s v="Debit Card"/>
    <n v="3"/>
    <s v="OnePlus Nord"/>
  </r>
  <r>
    <n v="1378"/>
    <n v="6"/>
    <n v="11"/>
    <n v="2022"/>
    <s v="Sunday"/>
    <x v="3"/>
    <n v="1"/>
    <n v="61046.71"/>
    <s v="Kavita Dutta"/>
    <n v="24"/>
    <x v="2"/>
    <s v="Credit Card"/>
    <n v="4"/>
    <s v="Galaxy A51"/>
  </r>
  <r>
    <n v="1379"/>
    <n v="6"/>
    <n v="11"/>
    <n v="2022"/>
    <s v="Sunday"/>
    <x v="3"/>
    <n v="4"/>
    <n v="35435.83"/>
    <s v="Sneha Mehta"/>
    <n v="54"/>
    <x v="14"/>
    <s v="Cash"/>
    <n v="1"/>
    <s v="Galaxy S21"/>
  </r>
  <r>
    <n v="1380"/>
    <n v="7"/>
    <n v="11"/>
    <n v="2022"/>
    <s v="Monday"/>
    <x v="4"/>
    <n v="7"/>
    <n v="13988.39"/>
    <s v="Radha Ghosh"/>
    <n v="40"/>
    <x v="3"/>
    <s v="Credit Card"/>
    <n v="5"/>
    <s v="iPhone 11"/>
  </r>
  <r>
    <n v="1381"/>
    <n v="7"/>
    <n v="11"/>
    <n v="2022"/>
    <s v="Monday"/>
    <x v="2"/>
    <n v="9"/>
    <n v="10095.08"/>
    <s v="Radha Solanki"/>
    <n v="28"/>
    <x v="4"/>
    <s v="Debit Card"/>
    <n v="1"/>
    <s v="OnePlus 8T"/>
  </r>
  <r>
    <n v="1382"/>
    <n v="7"/>
    <n v="11"/>
    <n v="2022"/>
    <s v="Monday"/>
    <x v="0"/>
    <n v="5"/>
    <n v="41397.550000000003"/>
    <s v="Nikhil Menon"/>
    <n v="27"/>
    <x v="2"/>
    <s v="Cash"/>
    <n v="4"/>
    <s v="Redmi Note 10"/>
  </r>
  <r>
    <n v="1383"/>
    <n v="8"/>
    <n v="11"/>
    <n v="2022"/>
    <s v="Tuesday"/>
    <x v="3"/>
    <n v="2"/>
    <n v="30644.53"/>
    <s v="Sumit Dutta"/>
    <n v="38"/>
    <x v="15"/>
    <s v="Credit Card"/>
    <n v="3"/>
    <s v="Galaxy A51"/>
  </r>
  <r>
    <n v="1384"/>
    <n v="8"/>
    <n v="11"/>
    <n v="2022"/>
    <s v="Tuesday"/>
    <x v="4"/>
    <n v="7"/>
    <n v="69827.91"/>
    <s v="Priya Varma"/>
    <n v="58"/>
    <x v="6"/>
    <s v="Cash"/>
    <n v="4"/>
    <s v="iPhone SE"/>
  </r>
  <r>
    <n v="1385"/>
    <n v="8"/>
    <n v="11"/>
    <n v="2022"/>
    <s v="Tuesday"/>
    <x v="2"/>
    <n v="1"/>
    <n v="56344.66"/>
    <s v="Manoj Mehta"/>
    <n v="50"/>
    <x v="18"/>
    <s v="Debit Card"/>
    <n v="3"/>
    <s v="OnePlus 9"/>
  </r>
  <r>
    <n v="1386"/>
    <n v="8"/>
    <n v="11"/>
    <n v="2022"/>
    <s v="Tuesday"/>
    <x v="2"/>
    <n v="7"/>
    <n v="55676.53"/>
    <s v="Sumit Alva"/>
    <n v="37"/>
    <x v="16"/>
    <s v="UPI"/>
    <n v="5"/>
    <s v="OnePlus 9"/>
  </r>
  <r>
    <n v="1387"/>
    <n v="9"/>
    <n v="11"/>
    <n v="2022"/>
    <s v="Wednesday"/>
    <x v="0"/>
    <n v="6"/>
    <n v="67314.570000000007"/>
    <s v="Anand Yadav"/>
    <n v="50"/>
    <x v="12"/>
    <s v="Debit Card"/>
    <n v="5"/>
    <s v="Redmi Note 10"/>
  </r>
  <r>
    <n v="1388"/>
    <n v="9"/>
    <n v="11"/>
    <n v="2022"/>
    <s v="Wednesday"/>
    <x v="4"/>
    <n v="7"/>
    <n v="63263.46"/>
    <s v="Rajesh Siddiqui"/>
    <n v="57"/>
    <x v="1"/>
    <s v="Debit Card"/>
    <n v="1"/>
    <s v="iPhone SE"/>
  </r>
  <r>
    <n v="1389"/>
    <n v="9"/>
    <n v="11"/>
    <n v="2022"/>
    <s v="Wednesday"/>
    <x v="2"/>
    <n v="3"/>
    <n v="29091.25"/>
    <s v="Ravi Sharma"/>
    <n v="52"/>
    <x v="8"/>
    <s v="Cash"/>
    <n v="3"/>
    <s v="OnePlus 9"/>
  </r>
  <r>
    <n v="1390"/>
    <n v="9"/>
    <n v="11"/>
    <n v="2022"/>
    <s v="Wednesday"/>
    <x v="3"/>
    <n v="3"/>
    <n v="19959.23"/>
    <s v="Tapan Siddiqui"/>
    <n v="51"/>
    <x v="1"/>
    <s v="Cash"/>
    <n v="1"/>
    <s v="Galaxy Note 20"/>
  </r>
  <r>
    <n v="1391"/>
    <n v="10"/>
    <n v="11"/>
    <n v="2022"/>
    <s v="Thursday"/>
    <x v="0"/>
    <n v="7"/>
    <n v="54753.54"/>
    <s v="Umesh Teja"/>
    <n v="53"/>
    <x v="1"/>
    <s v="UPI"/>
    <n v="5"/>
    <s v="Redmi Note 10"/>
  </r>
  <r>
    <n v="1392"/>
    <n v="10"/>
    <n v="11"/>
    <n v="2022"/>
    <s v="Thursday"/>
    <x v="4"/>
    <n v="2"/>
    <n v="32696.43"/>
    <s v="Tapan Siddiqui"/>
    <n v="44"/>
    <x v="1"/>
    <s v="UPI"/>
    <n v="4"/>
    <s v="iPhone 11"/>
  </r>
  <r>
    <n v="1393"/>
    <n v="10"/>
    <n v="11"/>
    <n v="2022"/>
    <s v="Thursday"/>
    <x v="0"/>
    <n v="1"/>
    <n v="38390.36"/>
    <s v="Prashant Gupta"/>
    <n v="36"/>
    <x v="2"/>
    <s v="UPI"/>
    <n v="3"/>
    <s v="Mi 11"/>
  </r>
  <r>
    <n v="1394"/>
    <n v="10"/>
    <n v="11"/>
    <n v="2022"/>
    <s v="Thursday"/>
    <x v="3"/>
    <n v="9"/>
    <n v="47823.86"/>
    <s v="Ravi Patel"/>
    <n v="22"/>
    <x v="1"/>
    <s v="Debit Card"/>
    <n v="5"/>
    <s v="Galaxy S21"/>
  </r>
  <r>
    <n v="1395"/>
    <n v="11"/>
    <n v="11"/>
    <n v="2022"/>
    <s v="Friday"/>
    <x v="4"/>
    <n v="9"/>
    <n v="64472.36"/>
    <s v="Rajesh Nambiar"/>
    <n v="46"/>
    <x v="1"/>
    <s v="Debit Card"/>
    <n v="3"/>
    <s v="iPhone 11"/>
  </r>
  <r>
    <n v="1396"/>
    <n v="11"/>
    <n v="11"/>
    <n v="2022"/>
    <s v="Friday"/>
    <x v="0"/>
    <n v="7"/>
    <n v="35145.269999999997"/>
    <s v="Sneha Patel"/>
    <n v="27"/>
    <x v="17"/>
    <s v="UPI"/>
    <n v="4"/>
    <s v="Redmi 9"/>
  </r>
  <r>
    <n v="1397"/>
    <n v="11"/>
    <n v="11"/>
    <n v="2022"/>
    <s v="Friday"/>
    <x v="1"/>
    <n v="7"/>
    <n v="56999.01"/>
    <s v="Ravi Siddiqui"/>
    <n v="57"/>
    <x v="6"/>
    <s v="UPI"/>
    <n v="4"/>
    <s v="Vivo V20"/>
  </r>
  <r>
    <n v="1398"/>
    <n v="11"/>
    <n v="11"/>
    <n v="2022"/>
    <s v="Friday"/>
    <x v="3"/>
    <n v="3"/>
    <n v="26100.39"/>
    <s v="Krishna Pillai"/>
    <n v="30"/>
    <x v="1"/>
    <s v="UPI"/>
    <n v="5"/>
    <s v="Galaxy A51"/>
  </r>
  <r>
    <n v="1399"/>
    <n v="12"/>
    <n v="11"/>
    <n v="2022"/>
    <s v="Saturday"/>
    <x v="3"/>
    <n v="2"/>
    <n v="51878.31"/>
    <s v="Navin Malhotra"/>
    <n v="46"/>
    <x v="11"/>
    <s v="Credit Card"/>
    <n v="5"/>
    <s v="Galaxy A51"/>
  </r>
  <r>
    <n v="1400"/>
    <n v="12"/>
    <n v="11"/>
    <n v="2022"/>
    <s v="Saturday"/>
    <x v="3"/>
    <n v="7"/>
    <n v="10094.77"/>
    <s v="Neeta Solanki"/>
    <n v="22"/>
    <x v="0"/>
    <s v="Credit Card"/>
    <n v="5"/>
    <s v="Galaxy Note 20"/>
  </r>
  <r>
    <n v="1401"/>
    <n v="12"/>
    <n v="11"/>
    <n v="2022"/>
    <s v="Saturday"/>
    <x v="1"/>
    <n v="9"/>
    <n v="62290.43"/>
    <s v="Meena Dutta"/>
    <n v="29"/>
    <x v="8"/>
    <s v="UPI"/>
    <n v="1"/>
    <s v="Vivo S1"/>
  </r>
  <r>
    <n v="1402"/>
    <n v="13"/>
    <n v="11"/>
    <n v="2022"/>
    <s v="Sunday"/>
    <x v="1"/>
    <n v="1"/>
    <n v="11822.77"/>
    <s v="Pankaj Alva"/>
    <n v="30"/>
    <x v="17"/>
    <s v="Debit Card"/>
    <n v="3"/>
    <s v="Vivo S1"/>
  </r>
  <r>
    <n v="1403"/>
    <n v="13"/>
    <n v="11"/>
    <n v="2022"/>
    <s v="Sunday"/>
    <x v="2"/>
    <n v="4"/>
    <n v="52765.23"/>
    <s v="Ravi Arora"/>
    <n v="39"/>
    <x v="16"/>
    <s v="Cash"/>
    <n v="5"/>
    <s v="OnePlus 9"/>
  </r>
  <r>
    <n v="1404"/>
    <n v="13"/>
    <n v="11"/>
    <n v="2022"/>
    <s v="Sunday"/>
    <x v="0"/>
    <n v="6"/>
    <n v="12775.49"/>
    <s v="Anjali Desai"/>
    <n v="57"/>
    <x v="14"/>
    <s v="Debit Card"/>
    <n v="1"/>
    <s v="Redmi Note 10"/>
  </r>
  <r>
    <n v="1405"/>
    <n v="13"/>
    <n v="11"/>
    <n v="2022"/>
    <s v="Sunday"/>
    <x v="2"/>
    <n v="7"/>
    <n v="25974.74"/>
    <s v="Vijay Solanki"/>
    <n v="32"/>
    <x v="11"/>
    <s v="Cash"/>
    <n v="5"/>
    <s v="OnePlus Nord"/>
  </r>
  <r>
    <n v="1406"/>
    <n v="14"/>
    <n v="11"/>
    <n v="2022"/>
    <s v="Monday"/>
    <x v="0"/>
    <n v="7"/>
    <n v="39832.14"/>
    <s v="Rajesh Nambiar"/>
    <n v="30"/>
    <x v="1"/>
    <s v="UPI"/>
    <n v="5"/>
    <s v="Mi 11"/>
  </r>
  <r>
    <n v="1407"/>
    <n v="14"/>
    <n v="11"/>
    <n v="2022"/>
    <s v="Monday"/>
    <x v="1"/>
    <n v="2"/>
    <n v="35196.32"/>
    <s v="Namita Malhotra"/>
    <n v="18"/>
    <x v="10"/>
    <s v="Credit Card"/>
    <n v="5"/>
    <s v="Vivo Y51"/>
  </r>
  <r>
    <n v="1408"/>
    <n v="14"/>
    <n v="11"/>
    <n v="2022"/>
    <s v="Monday"/>
    <x v="1"/>
    <n v="4"/>
    <n v="21510.17"/>
    <s v="Kavita Dutta"/>
    <n v="55"/>
    <x v="16"/>
    <s v="Credit Card"/>
    <n v="4"/>
    <s v="Vivo V20"/>
  </r>
  <r>
    <n v="1409"/>
    <n v="14"/>
    <n v="11"/>
    <n v="2022"/>
    <s v="Monday"/>
    <x v="2"/>
    <n v="5"/>
    <n v="30028.89"/>
    <s v="Vijay Das"/>
    <n v="18"/>
    <x v="1"/>
    <s v="Cash"/>
    <n v="3"/>
    <s v="OnePlus 9"/>
  </r>
  <r>
    <n v="1410"/>
    <n v="15"/>
    <n v="11"/>
    <n v="2022"/>
    <s v="Tuesday"/>
    <x v="4"/>
    <n v="1"/>
    <n v="53662.38"/>
    <s v="Ravi Siddiqui"/>
    <n v="28"/>
    <x v="12"/>
    <s v="UPI"/>
    <n v="3"/>
    <s v="iPhone 12"/>
  </r>
  <r>
    <n v="1411"/>
    <n v="15"/>
    <n v="11"/>
    <n v="2022"/>
    <s v="Tuesday"/>
    <x v="2"/>
    <n v="1"/>
    <n v="50155.43"/>
    <s v="Priyanka Patel"/>
    <n v="57"/>
    <x v="11"/>
    <s v="Credit Card"/>
    <n v="3"/>
    <s v="OnePlus 8T"/>
  </r>
  <r>
    <n v="1412"/>
    <n v="15"/>
    <n v="11"/>
    <n v="2022"/>
    <s v="Tuesday"/>
    <x v="0"/>
    <n v="3"/>
    <n v="14308.88"/>
    <s v="Sunil Iyer"/>
    <n v="39"/>
    <x v="2"/>
    <s v="UPI"/>
    <n v="5"/>
    <s v="Redmi Note 10"/>
  </r>
  <r>
    <n v="1413"/>
    <n v="16"/>
    <n v="11"/>
    <n v="2022"/>
    <s v="Wednesday"/>
    <x v="2"/>
    <n v="3"/>
    <n v="54838.95"/>
    <s v="Sneha Prasad"/>
    <n v="52"/>
    <x v="1"/>
    <s v="UPI"/>
    <n v="5"/>
    <s v="OnePlus Nord"/>
  </r>
  <r>
    <n v="1414"/>
    <n v="16"/>
    <n v="11"/>
    <n v="2022"/>
    <s v="Wednesday"/>
    <x v="3"/>
    <n v="8"/>
    <n v="13182.75"/>
    <s v="Arun Gupta"/>
    <n v="23"/>
    <x v="1"/>
    <s v="Cash"/>
    <n v="3"/>
    <s v="Galaxy Note 20"/>
  </r>
  <r>
    <n v="1415"/>
    <n v="16"/>
    <n v="11"/>
    <n v="2022"/>
    <s v="Wednesday"/>
    <x v="0"/>
    <n v="9"/>
    <n v="42575.58"/>
    <s v="Priyanka Sharma"/>
    <n v="45"/>
    <x v="1"/>
    <s v="UPI"/>
    <n v="4"/>
    <s v="Redmi 9"/>
  </r>
  <r>
    <n v="1416"/>
    <n v="17"/>
    <n v="11"/>
    <n v="2022"/>
    <s v="Thursday"/>
    <x v="0"/>
    <n v="1"/>
    <n v="25603.759999999998"/>
    <s v="Pankaj Gupta"/>
    <n v="48"/>
    <x v="18"/>
    <s v="UPI"/>
    <n v="1"/>
    <s v="Redmi Note 10"/>
  </r>
  <r>
    <n v="1417"/>
    <n v="17"/>
    <n v="11"/>
    <n v="2022"/>
    <s v="Thursday"/>
    <x v="4"/>
    <n v="2"/>
    <n v="45261.41"/>
    <s v="Yogesh Luthra"/>
    <n v="25"/>
    <x v="1"/>
    <s v="Cash"/>
    <n v="5"/>
    <s v="iPhone 11"/>
  </r>
  <r>
    <n v="1418"/>
    <n v="17"/>
    <n v="11"/>
    <n v="2022"/>
    <s v="Thursday"/>
    <x v="1"/>
    <n v="2"/>
    <n v="25679.7"/>
    <s v="Yogesh Mishra"/>
    <n v="22"/>
    <x v="3"/>
    <s v="Credit Card"/>
    <n v="3"/>
    <s v="Vivo V20"/>
  </r>
  <r>
    <n v="1419"/>
    <n v="17"/>
    <n v="11"/>
    <n v="2022"/>
    <s v="Thursday"/>
    <x v="0"/>
    <n v="4"/>
    <n v="69097.48"/>
    <s v="Priyanka Pathak"/>
    <n v="59"/>
    <x v="4"/>
    <s v="Debit Card"/>
    <n v="5"/>
    <s v="Mi 11"/>
  </r>
  <r>
    <n v="1420"/>
    <n v="18"/>
    <n v="11"/>
    <n v="2022"/>
    <s v="Friday"/>
    <x v="1"/>
    <n v="2"/>
    <n v="28583.69"/>
    <s v="Harish Patel"/>
    <n v="34"/>
    <x v="4"/>
    <s v="UPI"/>
    <n v="5"/>
    <s v="Vivo V20"/>
  </r>
  <r>
    <n v="1421"/>
    <n v="18"/>
    <n v="11"/>
    <n v="2022"/>
    <s v="Friday"/>
    <x v="2"/>
    <n v="7"/>
    <n v="24517.64"/>
    <s v="Vijay Patel"/>
    <n v="55"/>
    <x v="2"/>
    <s v="Cash"/>
    <n v="1"/>
    <s v="OnePlus 8T"/>
  </r>
  <r>
    <n v="1422"/>
    <n v="18"/>
    <n v="11"/>
    <n v="2022"/>
    <s v="Friday"/>
    <x v="3"/>
    <n v="9"/>
    <n v="26707.919999999998"/>
    <s v="Tapan Kumar"/>
    <n v="26"/>
    <x v="2"/>
    <s v="Credit Card"/>
    <n v="5"/>
    <s v="Galaxy Note 20"/>
  </r>
  <r>
    <n v="1423"/>
    <n v="18"/>
    <n v="11"/>
    <n v="2022"/>
    <s v="Friday"/>
    <x v="4"/>
    <n v="7"/>
    <n v="63788.37"/>
    <s v="Kavita Teja"/>
    <n v="27"/>
    <x v="4"/>
    <s v="UPI"/>
    <n v="1"/>
    <s v="iPhone 11"/>
  </r>
  <r>
    <n v="1424"/>
    <n v="19"/>
    <n v="11"/>
    <n v="2022"/>
    <s v="Saturday"/>
    <x v="1"/>
    <n v="6"/>
    <n v="48173.13"/>
    <s v="Namita Teja"/>
    <n v="37"/>
    <x v="2"/>
    <s v="Debit Card"/>
    <n v="1"/>
    <s v="Vivo S1"/>
  </r>
  <r>
    <n v="1425"/>
    <n v="19"/>
    <n v="11"/>
    <n v="2022"/>
    <s v="Saturday"/>
    <x v="0"/>
    <n v="1"/>
    <n v="53841.05"/>
    <s v="Kavita Rawat"/>
    <n v="31"/>
    <x v="17"/>
    <s v="Credit Card"/>
    <n v="5"/>
    <s v="Redmi Note 10"/>
  </r>
  <r>
    <n v="1426"/>
    <n v="19"/>
    <n v="11"/>
    <n v="2022"/>
    <s v="Saturday"/>
    <x v="1"/>
    <n v="9"/>
    <n v="65080.63"/>
    <s v="Isha Desai"/>
    <n v="31"/>
    <x v="9"/>
    <s v="Cash"/>
    <n v="1"/>
    <s v="Vivo V20"/>
  </r>
  <r>
    <n v="1427"/>
    <n v="19"/>
    <n v="11"/>
    <n v="2022"/>
    <s v="Saturday"/>
    <x v="0"/>
    <n v="5"/>
    <n v="64712.35"/>
    <s v="Radha Kulkarni"/>
    <n v="43"/>
    <x v="1"/>
    <s v="UPI"/>
    <n v="5"/>
    <s v="Mi 11"/>
  </r>
  <r>
    <n v="1428"/>
    <n v="20"/>
    <n v="11"/>
    <n v="2022"/>
    <s v="Sunday"/>
    <x v="1"/>
    <n v="5"/>
    <n v="54336.75"/>
    <s v="Ramesh Verma"/>
    <n v="46"/>
    <x v="1"/>
    <s v="Cash"/>
    <n v="5"/>
    <s v="Vivo S1"/>
  </r>
  <r>
    <n v="1429"/>
    <n v="20"/>
    <n v="11"/>
    <n v="2022"/>
    <s v="Sunday"/>
    <x v="0"/>
    <n v="6"/>
    <n v="21869.47"/>
    <s v="Neeta Mathur"/>
    <n v="44"/>
    <x v="1"/>
    <s v="Debit Card"/>
    <n v="4"/>
    <s v="Mi 11"/>
  </r>
  <r>
    <n v="1430"/>
    <n v="20"/>
    <n v="11"/>
    <n v="2022"/>
    <s v="Sunday"/>
    <x v="2"/>
    <n v="9"/>
    <n v="60602.400000000001"/>
    <s v="Pooja Roy"/>
    <n v="42"/>
    <x v="1"/>
    <s v="Debit Card"/>
    <n v="5"/>
    <s v="OnePlus 9"/>
  </r>
  <r>
    <n v="1431"/>
    <n v="20"/>
    <n v="11"/>
    <n v="2022"/>
    <s v="Sunday"/>
    <x v="0"/>
    <n v="8"/>
    <n v="22226.560000000001"/>
    <s v="Sneha Mishra"/>
    <n v="33"/>
    <x v="8"/>
    <s v="Cash"/>
    <n v="1"/>
    <s v="Redmi Note 10"/>
  </r>
  <r>
    <n v="1432"/>
    <n v="21"/>
    <n v="11"/>
    <n v="2022"/>
    <s v="Monday"/>
    <x v="0"/>
    <n v="8"/>
    <n v="54573.93"/>
    <s v="Priya Mehta"/>
    <n v="53"/>
    <x v="2"/>
    <s v="UPI"/>
    <n v="5"/>
    <s v="Mi 11"/>
  </r>
  <r>
    <n v="1433"/>
    <n v="21"/>
    <n v="11"/>
    <n v="2022"/>
    <s v="Monday"/>
    <x v="3"/>
    <n v="8"/>
    <n v="51136.18"/>
    <s v="Bhavana Mehta"/>
    <n v="51"/>
    <x v="18"/>
    <s v="Cash"/>
    <n v="1"/>
    <s v="Galaxy Note 20"/>
  </r>
  <r>
    <n v="1434"/>
    <n v="21"/>
    <n v="11"/>
    <n v="2022"/>
    <s v="Monday"/>
    <x v="0"/>
    <n v="1"/>
    <n v="55533.33"/>
    <s v="Kiran Solanki"/>
    <n v="33"/>
    <x v="1"/>
    <s v="Credit Card"/>
    <n v="5"/>
    <s v="Mi 11"/>
  </r>
  <r>
    <n v="1435"/>
    <n v="21"/>
    <n v="11"/>
    <n v="2022"/>
    <s v="Monday"/>
    <x v="3"/>
    <n v="1"/>
    <n v="41961.14"/>
    <s v="Kunal Chaudhary"/>
    <n v="50"/>
    <x v="10"/>
    <s v="Cash"/>
    <n v="5"/>
    <s v="Galaxy S21"/>
  </r>
  <r>
    <n v="1436"/>
    <n v="22"/>
    <n v="11"/>
    <n v="2022"/>
    <s v="Tuesday"/>
    <x v="4"/>
    <n v="8"/>
    <n v="48323.57"/>
    <s v="Pooja Luthra"/>
    <n v="20"/>
    <x v="7"/>
    <s v="Debit Card"/>
    <n v="5"/>
    <s v="iPhone 11"/>
  </r>
  <r>
    <n v="1437"/>
    <n v="22"/>
    <n v="11"/>
    <n v="2022"/>
    <s v="Tuesday"/>
    <x v="3"/>
    <n v="5"/>
    <n v="67199.199999999997"/>
    <s v="Rajesh Kulkarni"/>
    <n v="40"/>
    <x v="1"/>
    <s v="UPI"/>
    <n v="5"/>
    <s v="Galaxy Note 20"/>
  </r>
  <r>
    <n v="1438"/>
    <n v="22"/>
    <n v="11"/>
    <n v="2022"/>
    <s v="Tuesday"/>
    <x v="2"/>
    <n v="9"/>
    <n v="16065.32"/>
    <s v="Reena Sharma"/>
    <n v="28"/>
    <x v="2"/>
    <s v="UPI"/>
    <n v="1"/>
    <s v="OnePlus 9"/>
  </r>
  <r>
    <n v="1439"/>
    <n v="22"/>
    <n v="11"/>
    <n v="2022"/>
    <s v="Tuesday"/>
    <x v="3"/>
    <n v="2"/>
    <n v="28530.84"/>
    <s v="Sunil Dutta"/>
    <n v="35"/>
    <x v="5"/>
    <s v="Debit Card"/>
    <n v="5"/>
    <s v="Galaxy Note 20"/>
  </r>
  <r>
    <n v="1440"/>
    <n v="23"/>
    <n v="11"/>
    <n v="2022"/>
    <s v="Wednesday"/>
    <x v="4"/>
    <n v="9"/>
    <n v="46681.42"/>
    <s v="Anita Srivastava"/>
    <n v="58"/>
    <x v="16"/>
    <s v="Debit Card"/>
    <n v="5"/>
    <s v="iPhone SE"/>
  </r>
  <r>
    <n v="1441"/>
    <n v="23"/>
    <n v="11"/>
    <n v="2022"/>
    <s v="Wednesday"/>
    <x v="2"/>
    <n v="8"/>
    <n v="67843.25"/>
    <s v="Kavita Singh"/>
    <n v="46"/>
    <x v="2"/>
    <s v="Credit Card"/>
    <n v="5"/>
    <s v="OnePlus 9"/>
  </r>
  <r>
    <n v="1442"/>
    <n v="23"/>
    <n v="11"/>
    <n v="2022"/>
    <s v="Wednesday"/>
    <x v="1"/>
    <n v="9"/>
    <n v="15734.47"/>
    <s v="Shruti Shah"/>
    <n v="22"/>
    <x v="8"/>
    <s v="Debit Card"/>
    <n v="5"/>
    <s v="Vivo Y51"/>
  </r>
  <r>
    <n v="1443"/>
    <n v="24"/>
    <n v="11"/>
    <n v="2022"/>
    <s v="Thursday"/>
    <x v="1"/>
    <n v="4"/>
    <n v="11352.95"/>
    <s v="Namita Ghosh"/>
    <n v="41"/>
    <x v="1"/>
    <s v="Debit Card"/>
    <n v="4"/>
    <s v="Vivo Y51"/>
  </r>
  <r>
    <n v="1444"/>
    <n v="24"/>
    <n v="11"/>
    <n v="2022"/>
    <s v="Thursday"/>
    <x v="3"/>
    <n v="1"/>
    <n v="13344.98"/>
    <s v="Radha Kaur"/>
    <n v="46"/>
    <x v="1"/>
    <s v="Debit Card"/>
    <n v="1"/>
    <s v="Galaxy S21"/>
  </r>
  <r>
    <n v="1445"/>
    <n v="24"/>
    <n v="11"/>
    <n v="2022"/>
    <s v="Thursday"/>
    <x v="3"/>
    <n v="1"/>
    <n v="13144.34"/>
    <s v="Prashant Teja"/>
    <n v="46"/>
    <x v="17"/>
    <s v="UPI"/>
    <n v="1"/>
    <s v="Galaxy S21"/>
  </r>
  <r>
    <n v="1446"/>
    <n v="24"/>
    <n v="11"/>
    <n v="2022"/>
    <s v="Thursday"/>
    <x v="4"/>
    <n v="5"/>
    <n v="64468.95"/>
    <s v="Rohan Singh"/>
    <n v="43"/>
    <x v="13"/>
    <s v="Debit Card"/>
    <n v="5"/>
    <s v="iPhone SE"/>
  </r>
  <r>
    <n v="1447"/>
    <n v="25"/>
    <n v="11"/>
    <n v="2022"/>
    <s v="Friday"/>
    <x v="4"/>
    <n v="2"/>
    <n v="53275.47"/>
    <s v="Nikhil Patel"/>
    <n v="57"/>
    <x v="1"/>
    <s v="Cash"/>
    <n v="1"/>
    <s v="iPhone 11"/>
  </r>
  <r>
    <n v="1448"/>
    <n v="25"/>
    <n v="11"/>
    <n v="2022"/>
    <s v="Friday"/>
    <x v="0"/>
    <n v="8"/>
    <n v="50626.38"/>
    <s v="Rajesh Verma"/>
    <n v="20"/>
    <x v="1"/>
    <s v="Cash"/>
    <n v="5"/>
    <s v="Mi 11"/>
  </r>
  <r>
    <n v="1449"/>
    <n v="25"/>
    <n v="11"/>
    <n v="2022"/>
    <s v="Friday"/>
    <x v="4"/>
    <n v="5"/>
    <n v="41354.370000000003"/>
    <s v="Sunita Das"/>
    <n v="19"/>
    <x v="1"/>
    <s v="UPI"/>
    <n v="3"/>
    <s v="iPhone 11"/>
  </r>
  <r>
    <n v="1450"/>
    <n v="25"/>
    <n v="11"/>
    <n v="2022"/>
    <s v="Friday"/>
    <x v="0"/>
    <n v="5"/>
    <n v="56917.16"/>
    <s v="Sneha Menon"/>
    <n v="42"/>
    <x v="17"/>
    <s v="Credit Card"/>
    <n v="1"/>
    <s v="Redmi Note 10"/>
  </r>
  <r>
    <n v="1451"/>
    <n v="26"/>
    <n v="11"/>
    <n v="2022"/>
    <s v="Saturday"/>
    <x v="2"/>
    <n v="2"/>
    <n v="19338.88"/>
    <s v="Priyanka Sharma"/>
    <n v="36"/>
    <x v="5"/>
    <s v="Credit Card"/>
    <n v="3"/>
    <s v="OnePlus 9"/>
  </r>
  <r>
    <n v="1452"/>
    <n v="26"/>
    <n v="11"/>
    <n v="2022"/>
    <s v="Saturday"/>
    <x v="3"/>
    <n v="7"/>
    <n v="33516.47"/>
    <s v="Bhavana Teja"/>
    <n v="57"/>
    <x v="2"/>
    <s v="UPI"/>
    <n v="4"/>
    <s v="Galaxy S21"/>
  </r>
  <r>
    <n v="1453"/>
    <n v="26"/>
    <n v="11"/>
    <n v="2022"/>
    <s v="Saturday"/>
    <x v="2"/>
    <n v="8"/>
    <n v="39400.26"/>
    <s v="Deepika Reddy"/>
    <n v="19"/>
    <x v="1"/>
    <s v="Cash"/>
    <n v="5"/>
    <s v="OnePlus 8T"/>
  </r>
  <r>
    <n v="1454"/>
    <n v="27"/>
    <n v="11"/>
    <n v="2022"/>
    <s v="Sunday"/>
    <x v="4"/>
    <n v="1"/>
    <n v="16624.57"/>
    <s v="Ravi Jain"/>
    <n v="36"/>
    <x v="15"/>
    <s v="UPI"/>
    <n v="5"/>
    <s v="iPhone 11"/>
  </r>
  <r>
    <n v="1455"/>
    <n v="27"/>
    <n v="11"/>
    <n v="2022"/>
    <s v="Sunday"/>
    <x v="2"/>
    <n v="2"/>
    <n v="35170.82"/>
    <s v="Kavita Iyer"/>
    <n v="18"/>
    <x v="6"/>
    <s v="Debit Card"/>
    <n v="5"/>
    <s v="OnePlus 9"/>
  </r>
  <r>
    <n v="1456"/>
    <n v="27"/>
    <n v="11"/>
    <n v="2022"/>
    <s v="Sunday"/>
    <x v="2"/>
    <n v="4"/>
    <n v="28990.11"/>
    <s v="Radha Alva"/>
    <n v="44"/>
    <x v="9"/>
    <s v="UPI"/>
    <n v="4"/>
    <s v="OnePlus Nord"/>
  </r>
  <r>
    <n v="1457"/>
    <n v="28"/>
    <n v="11"/>
    <n v="2022"/>
    <s v="Monday"/>
    <x v="2"/>
    <n v="5"/>
    <n v="12134.93"/>
    <s v="Deepika Malhotra"/>
    <n v="52"/>
    <x v="6"/>
    <s v="Credit Card"/>
    <n v="5"/>
    <s v="OnePlus 8T"/>
  </r>
  <r>
    <n v="1458"/>
    <n v="28"/>
    <n v="11"/>
    <n v="2022"/>
    <s v="Monday"/>
    <x v="4"/>
    <n v="2"/>
    <n v="18204.12"/>
    <s v="Ayesha Singh"/>
    <n v="58"/>
    <x v="17"/>
    <s v="Cash"/>
    <n v="3"/>
    <s v="iPhone SE"/>
  </r>
  <r>
    <n v="1459"/>
    <n v="28"/>
    <n v="11"/>
    <n v="2022"/>
    <s v="Monday"/>
    <x v="2"/>
    <n v="1"/>
    <n v="55842.21"/>
    <s v="Lata Shah"/>
    <n v="22"/>
    <x v="17"/>
    <s v="Credit Card"/>
    <n v="1"/>
    <s v="OnePlus 9"/>
  </r>
  <r>
    <n v="1460"/>
    <n v="29"/>
    <n v="11"/>
    <n v="2022"/>
    <s v="Tuesday"/>
    <x v="0"/>
    <n v="9"/>
    <n v="11082.27"/>
    <s v="Bina Solanki"/>
    <n v="55"/>
    <x v="3"/>
    <s v="Credit Card"/>
    <n v="5"/>
    <s v="Mi 11"/>
  </r>
  <r>
    <n v="1461"/>
    <n v="29"/>
    <n v="11"/>
    <n v="2022"/>
    <s v="Tuesday"/>
    <x v="4"/>
    <n v="1"/>
    <n v="66055.199999999997"/>
    <s v="Anita Varma"/>
    <n v="21"/>
    <x v="17"/>
    <s v="Cash"/>
    <n v="5"/>
    <s v="iPhone SE"/>
  </r>
  <r>
    <n v="1462"/>
    <n v="29"/>
    <n v="11"/>
    <n v="2022"/>
    <s v="Tuesday"/>
    <x v="2"/>
    <n v="4"/>
    <n v="15185.48"/>
    <s v="Devendra Mathur"/>
    <n v="34"/>
    <x v="3"/>
    <s v="Debit Card"/>
    <n v="5"/>
    <s v="OnePlus 8T"/>
  </r>
  <r>
    <n v="1463"/>
    <n v="30"/>
    <n v="11"/>
    <n v="2022"/>
    <s v="Wednesday"/>
    <x v="4"/>
    <n v="2"/>
    <n v="57954.29"/>
    <s v="Isha Nair"/>
    <n v="38"/>
    <x v="0"/>
    <s v="Cash"/>
    <n v="5"/>
    <s v="iPhone SE"/>
  </r>
  <r>
    <n v="1464"/>
    <n v="30"/>
    <n v="11"/>
    <n v="2022"/>
    <s v="Wednesday"/>
    <x v="1"/>
    <n v="4"/>
    <n v="63916.99"/>
    <s v="Meena Das"/>
    <n v="48"/>
    <x v="4"/>
    <s v="Cash"/>
    <n v="3"/>
    <s v="Vivo Y51"/>
  </r>
  <r>
    <n v="1465"/>
    <n v="30"/>
    <n v="11"/>
    <n v="2022"/>
    <s v="Wednesday"/>
    <x v="0"/>
    <n v="8"/>
    <n v="66468.14"/>
    <s v="Kavita Teja"/>
    <n v="39"/>
    <x v="1"/>
    <s v="UPI"/>
    <n v="5"/>
    <s v="Redmi 9"/>
  </r>
  <r>
    <n v="1466"/>
    <n v="30"/>
    <n v="11"/>
    <n v="2022"/>
    <s v="Wednesday"/>
    <x v="2"/>
    <n v="8"/>
    <n v="62048.62"/>
    <s v="Pankaj Singh"/>
    <n v="28"/>
    <x v="18"/>
    <s v="Cash"/>
    <n v="4"/>
    <s v="OnePlus Nord"/>
  </r>
  <r>
    <n v="1467"/>
    <n v="1"/>
    <n v="12"/>
    <n v="2022"/>
    <s v="Thursday"/>
    <x v="1"/>
    <n v="9"/>
    <n v="27253"/>
    <s v="Mala Kulkarni"/>
    <n v="51"/>
    <x v="1"/>
    <s v="UPI"/>
    <n v="5"/>
    <s v="Vivo V20"/>
  </r>
  <r>
    <n v="1468"/>
    <n v="1"/>
    <n v="12"/>
    <n v="2022"/>
    <s v="Thursday"/>
    <x v="1"/>
    <n v="5"/>
    <n v="29985.23"/>
    <s v="Pankaj Desai"/>
    <n v="32"/>
    <x v="2"/>
    <s v="Credit Card"/>
    <n v="3"/>
    <s v="Vivo V20"/>
  </r>
  <r>
    <n v="1469"/>
    <n v="1"/>
    <n v="12"/>
    <n v="2022"/>
    <s v="Thursday"/>
    <x v="4"/>
    <n v="7"/>
    <n v="35592.74"/>
    <s v="Sneha Sharma"/>
    <n v="27"/>
    <x v="9"/>
    <s v="Cash"/>
    <n v="1"/>
    <s v="iPhone SE"/>
  </r>
  <r>
    <n v="1470"/>
    <n v="1"/>
    <n v="12"/>
    <n v="2022"/>
    <s v="Thursday"/>
    <x v="1"/>
    <n v="3"/>
    <n v="18357.8"/>
    <s v="Sanjay Malhotra"/>
    <n v="55"/>
    <x v="1"/>
    <s v="Debit Card"/>
    <n v="5"/>
    <s v="Vivo Y51"/>
  </r>
  <r>
    <n v="1471"/>
    <n v="2"/>
    <n v="12"/>
    <n v="2022"/>
    <s v="Friday"/>
    <x v="0"/>
    <n v="4"/>
    <n v="11336.35"/>
    <s v="Umesh Dutta"/>
    <n v="49"/>
    <x v="5"/>
    <s v="UPI"/>
    <n v="5"/>
    <s v="Redmi 9"/>
  </r>
  <r>
    <n v="1472"/>
    <n v="2"/>
    <n v="12"/>
    <n v="2022"/>
    <s v="Friday"/>
    <x v="0"/>
    <n v="9"/>
    <n v="62147.3"/>
    <s v="Bina Mathur"/>
    <n v="48"/>
    <x v="14"/>
    <s v="UPI"/>
    <n v="3"/>
    <s v="Mi 11"/>
  </r>
  <r>
    <n v="1473"/>
    <n v="2"/>
    <n v="12"/>
    <n v="2022"/>
    <s v="Friday"/>
    <x v="3"/>
    <n v="1"/>
    <n v="43247.72"/>
    <s v="Namita Siddiqui"/>
    <n v="54"/>
    <x v="1"/>
    <s v="Debit Card"/>
    <n v="5"/>
    <s v="Galaxy Note 20"/>
  </r>
  <r>
    <n v="1474"/>
    <n v="2"/>
    <n v="12"/>
    <n v="2022"/>
    <s v="Friday"/>
    <x v="0"/>
    <n v="2"/>
    <n v="46523.38"/>
    <s v="Priyanka Alva"/>
    <n v="45"/>
    <x v="11"/>
    <s v="UPI"/>
    <n v="1"/>
    <s v="Mi 11"/>
  </r>
  <r>
    <n v="1475"/>
    <n v="3"/>
    <n v="12"/>
    <n v="2022"/>
    <s v="Saturday"/>
    <x v="1"/>
    <n v="5"/>
    <n v="65619.31"/>
    <s v="Mala Thakur"/>
    <n v="48"/>
    <x v="1"/>
    <s v="UPI"/>
    <n v="1"/>
    <s v="Vivo Y51"/>
  </r>
  <r>
    <n v="1476"/>
    <n v="3"/>
    <n v="12"/>
    <n v="2022"/>
    <s v="Saturday"/>
    <x v="0"/>
    <n v="3"/>
    <n v="49907.21"/>
    <s v="Monika Goyal"/>
    <n v="23"/>
    <x v="6"/>
    <s v="Debit Card"/>
    <n v="5"/>
    <s v="Redmi Note 10"/>
  </r>
  <r>
    <n v="1477"/>
    <n v="3"/>
    <n v="12"/>
    <n v="2022"/>
    <s v="Saturday"/>
    <x v="4"/>
    <n v="2"/>
    <n v="51451.21"/>
    <s v="Aditya Menon"/>
    <n v="31"/>
    <x v="2"/>
    <s v="Credit Card"/>
    <n v="4"/>
    <s v="iPhone SE"/>
  </r>
  <r>
    <n v="1478"/>
    <n v="3"/>
    <n v="12"/>
    <n v="2022"/>
    <s v="Saturday"/>
    <x v="3"/>
    <n v="1"/>
    <n v="57218.12"/>
    <s v="Tapan Deshmukh"/>
    <n v="40"/>
    <x v="15"/>
    <s v="Cash"/>
    <n v="5"/>
    <s v="Galaxy Note 20"/>
  </r>
  <r>
    <n v="1479"/>
    <n v="4"/>
    <n v="12"/>
    <n v="2022"/>
    <s v="Sunday"/>
    <x v="1"/>
    <n v="3"/>
    <n v="16980.91"/>
    <s v="Navin Kapoor"/>
    <n v="33"/>
    <x v="1"/>
    <s v="Cash"/>
    <n v="3"/>
    <s v="Vivo V20"/>
  </r>
  <r>
    <n v="1480"/>
    <n v="4"/>
    <n v="12"/>
    <n v="2022"/>
    <s v="Sunday"/>
    <x v="3"/>
    <n v="1"/>
    <n v="31609.73"/>
    <s v="Sachin Nambiar"/>
    <n v="42"/>
    <x v="17"/>
    <s v="Cash"/>
    <n v="5"/>
    <s v="Galaxy Note 20"/>
  </r>
  <r>
    <n v="1481"/>
    <n v="4"/>
    <n v="12"/>
    <n v="2022"/>
    <s v="Sunday"/>
    <x v="1"/>
    <n v="1"/>
    <n v="68092.479999999996"/>
    <s v="Anjali Ahuja"/>
    <n v="56"/>
    <x v="11"/>
    <s v="Cash"/>
    <n v="3"/>
    <s v="Vivo Y51"/>
  </r>
  <r>
    <n v="1482"/>
    <n v="4"/>
    <n v="12"/>
    <n v="2022"/>
    <s v="Sunday"/>
    <x v="4"/>
    <n v="1"/>
    <n v="65375.8"/>
    <s v="Kiran Singh"/>
    <n v="19"/>
    <x v="9"/>
    <s v="Cash"/>
    <n v="4"/>
    <s v="iPhone 12"/>
  </r>
  <r>
    <n v="1483"/>
    <n v="5"/>
    <n v="12"/>
    <n v="2022"/>
    <s v="Monday"/>
    <x v="3"/>
    <n v="8"/>
    <n v="63044.52"/>
    <s v="Umesh Dutta"/>
    <n v="55"/>
    <x v="10"/>
    <s v="Cash"/>
    <n v="5"/>
    <s v="Galaxy S21"/>
  </r>
  <r>
    <n v="1484"/>
    <n v="5"/>
    <n v="12"/>
    <n v="2022"/>
    <s v="Monday"/>
    <x v="2"/>
    <n v="3"/>
    <n v="37125.31"/>
    <s v="Ravi Varma"/>
    <n v="58"/>
    <x v="2"/>
    <s v="UPI"/>
    <n v="1"/>
    <s v="OnePlus 8T"/>
  </r>
  <r>
    <n v="1485"/>
    <n v="5"/>
    <n v="12"/>
    <n v="2022"/>
    <s v="Monday"/>
    <x v="1"/>
    <n v="1"/>
    <n v="61431.58"/>
    <s v="Umesh Varma"/>
    <n v="56"/>
    <x v="1"/>
    <s v="Cash"/>
    <n v="3"/>
    <s v="Vivo S1"/>
  </r>
  <r>
    <n v="1486"/>
    <n v="5"/>
    <n v="12"/>
    <n v="2022"/>
    <s v="Monday"/>
    <x v="2"/>
    <n v="7"/>
    <n v="12903.75"/>
    <s v="Pankaj Shah"/>
    <n v="51"/>
    <x v="2"/>
    <s v="UPI"/>
    <n v="3"/>
    <s v="OnePlus 9"/>
  </r>
  <r>
    <n v="1487"/>
    <n v="6"/>
    <n v="12"/>
    <n v="2022"/>
    <s v="Tuesday"/>
    <x v="3"/>
    <n v="3"/>
    <n v="18911.05"/>
    <s v="Vijay Singh"/>
    <n v="57"/>
    <x v="18"/>
    <s v="Debit Card"/>
    <n v="1"/>
    <s v="Galaxy A51"/>
  </r>
  <r>
    <n v="1488"/>
    <n v="6"/>
    <n v="12"/>
    <n v="2022"/>
    <s v="Tuesday"/>
    <x v="2"/>
    <n v="8"/>
    <n v="34838.06"/>
    <s v="Jyoti Roy"/>
    <n v="42"/>
    <x v="1"/>
    <s v="Credit Card"/>
    <n v="5"/>
    <s v="OnePlus 8T"/>
  </r>
  <r>
    <n v="1489"/>
    <n v="6"/>
    <n v="12"/>
    <n v="2022"/>
    <s v="Tuesday"/>
    <x v="2"/>
    <n v="4"/>
    <n v="39003.519999999997"/>
    <s v="Kunal Malhotra"/>
    <n v="53"/>
    <x v="5"/>
    <s v="UPI"/>
    <n v="4"/>
    <s v="OnePlus 8T"/>
  </r>
  <r>
    <n v="1490"/>
    <n v="7"/>
    <n v="12"/>
    <n v="2022"/>
    <s v="Wednesday"/>
    <x v="3"/>
    <n v="4"/>
    <n v="25810.43"/>
    <s v="Shruti Bhatnagar"/>
    <n v="33"/>
    <x v="2"/>
    <s v="Credit Card"/>
    <n v="5"/>
    <s v="Galaxy Note 20"/>
  </r>
  <r>
    <n v="1491"/>
    <n v="7"/>
    <n v="12"/>
    <n v="2022"/>
    <s v="Wednesday"/>
    <x v="4"/>
    <n v="5"/>
    <n v="31388.6"/>
    <s v="Lata Alva"/>
    <n v="35"/>
    <x v="0"/>
    <s v="Debit Card"/>
    <n v="5"/>
    <s v="iPhone 11"/>
  </r>
  <r>
    <n v="1492"/>
    <n v="7"/>
    <n v="12"/>
    <n v="2022"/>
    <s v="Wednesday"/>
    <x v="2"/>
    <n v="6"/>
    <n v="19766.57"/>
    <s v="Navin Chaudhary"/>
    <n v="30"/>
    <x v="2"/>
    <s v="Cash"/>
    <n v="5"/>
    <s v="OnePlus 8T"/>
  </r>
  <r>
    <n v="1493"/>
    <n v="7"/>
    <n v="12"/>
    <n v="2022"/>
    <s v="Wednesday"/>
    <x v="2"/>
    <n v="7"/>
    <n v="39348.04"/>
    <s v="Radha Srivastava"/>
    <n v="54"/>
    <x v="0"/>
    <s v="Credit Card"/>
    <n v="3"/>
    <s v="OnePlus 8T"/>
  </r>
  <r>
    <n v="1494"/>
    <n v="8"/>
    <n v="12"/>
    <n v="2022"/>
    <s v="Thursday"/>
    <x v="4"/>
    <n v="4"/>
    <n v="57630.6"/>
    <s v="Arun Nair"/>
    <n v="44"/>
    <x v="10"/>
    <s v="Credit Card"/>
    <n v="3"/>
    <s v="iPhone SE"/>
  </r>
  <r>
    <n v="1495"/>
    <n v="8"/>
    <n v="12"/>
    <n v="2022"/>
    <s v="Thursday"/>
    <x v="2"/>
    <n v="8"/>
    <n v="49681.62"/>
    <s v="Anita Mathur"/>
    <n v="51"/>
    <x v="0"/>
    <s v="Debit Card"/>
    <n v="4"/>
    <s v="OnePlus 9"/>
  </r>
  <r>
    <n v="1496"/>
    <n v="8"/>
    <n v="12"/>
    <n v="2022"/>
    <s v="Thursday"/>
    <x v="2"/>
    <n v="6"/>
    <n v="16467.53"/>
    <s v="Jyoti Rawat"/>
    <n v="28"/>
    <x v="12"/>
    <s v="Debit Card"/>
    <n v="4"/>
    <s v="OnePlus 8T"/>
  </r>
  <r>
    <n v="1497"/>
    <n v="9"/>
    <n v="12"/>
    <n v="2022"/>
    <s v="Friday"/>
    <x v="2"/>
    <n v="1"/>
    <n v="39254.9"/>
    <s v="Radha Varma"/>
    <n v="18"/>
    <x v="18"/>
    <s v="Debit Card"/>
    <n v="4"/>
    <s v="OnePlus 9"/>
  </r>
  <r>
    <n v="1498"/>
    <n v="9"/>
    <n v="12"/>
    <n v="2022"/>
    <s v="Friday"/>
    <x v="0"/>
    <n v="1"/>
    <n v="51858.78"/>
    <s v="Neeta Kumar"/>
    <n v="30"/>
    <x v="14"/>
    <s v="UPI"/>
    <n v="1"/>
    <s v="Redmi 9"/>
  </r>
  <r>
    <n v="1499"/>
    <n v="9"/>
    <n v="12"/>
    <n v="2022"/>
    <s v="Friday"/>
    <x v="4"/>
    <n v="9"/>
    <n v="41793.72"/>
    <s v="Kavita Kaur"/>
    <n v="47"/>
    <x v="2"/>
    <s v="UPI"/>
    <n v="5"/>
    <s v="iPhone 11"/>
  </r>
  <r>
    <n v="1500"/>
    <n v="10"/>
    <n v="12"/>
    <n v="2022"/>
    <s v="Saturday"/>
    <x v="2"/>
    <n v="6"/>
    <n v="33500.54"/>
    <s v="Deepika Shah"/>
    <n v="22"/>
    <x v="1"/>
    <s v="Credit Card"/>
    <n v="5"/>
    <s v="OnePlus 8T"/>
  </r>
  <r>
    <n v="1501"/>
    <n v="10"/>
    <n v="12"/>
    <n v="2022"/>
    <s v="Saturday"/>
    <x v="4"/>
    <n v="8"/>
    <n v="47314.87"/>
    <s v="Sachin Goyal"/>
    <n v="35"/>
    <x v="2"/>
    <s v="Debit Card"/>
    <n v="4"/>
    <s v="iPhone 12"/>
  </r>
  <r>
    <n v="1502"/>
    <n v="10"/>
    <n v="12"/>
    <n v="2022"/>
    <s v="Saturday"/>
    <x v="1"/>
    <n v="7"/>
    <n v="68118.320000000007"/>
    <s v="Pooja Deshmukh"/>
    <n v="31"/>
    <x v="2"/>
    <s v="Credit Card"/>
    <n v="3"/>
    <s v="Vivo V20"/>
  </r>
  <r>
    <n v="1503"/>
    <n v="10"/>
    <n v="12"/>
    <n v="2022"/>
    <s v="Saturday"/>
    <x v="1"/>
    <n v="6"/>
    <n v="15694.47"/>
    <s v="Reena Das"/>
    <n v="30"/>
    <x v="5"/>
    <s v="Cash"/>
    <n v="5"/>
    <s v="Vivo V20"/>
  </r>
  <r>
    <n v="1504"/>
    <n v="11"/>
    <n v="12"/>
    <n v="2022"/>
    <s v="Sunday"/>
    <x v="2"/>
    <n v="4"/>
    <n v="33400.959999999999"/>
    <s v="Amit Ahuja"/>
    <n v="49"/>
    <x v="13"/>
    <s v="Debit Card"/>
    <n v="5"/>
    <s v="OnePlus 8T"/>
  </r>
  <r>
    <n v="1505"/>
    <n v="11"/>
    <n v="12"/>
    <n v="2022"/>
    <s v="Sunday"/>
    <x v="4"/>
    <n v="7"/>
    <n v="34396.35"/>
    <s v="Pankaj Desai"/>
    <n v="24"/>
    <x v="2"/>
    <s v="UPI"/>
    <n v="1"/>
    <s v="iPhone 12"/>
  </r>
  <r>
    <n v="1506"/>
    <n v="11"/>
    <n v="12"/>
    <n v="2022"/>
    <s v="Sunday"/>
    <x v="4"/>
    <n v="9"/>
    <n v="44618.04"/>
    <s v="Rajesh Roy"/>
    <n v="25"/>
    <x v="15"/>
    <s v="Debit Card"/>
    <n v="3"/>
    <s v="iPhone 12"/>
  </r>
  <r>
    <n v="1507"/>
    <n v="12"/>
    <n v="12"/>
    <n v="2022"/>
    <s v="Monday"/>
    <x v="4"/>
    <n v="7"/>
    <n v="19130.48"/>
    <s v="Shruti Mehta"/>
    <n v="24"/>
    <x v="1"/>
    <s v="Credit Card"/>
    <n v="1"/>
    <s v="iPhone SE"/>
  </r>
  <r>
    <n v="1508"/>
    <n v="12"/>
    <n v="12"/>
    <n v="2022"/>
    <s v="Monday"/>
    <x v="0"/>
    <n v="1"/>
    <n v="20598.580000000002"/>
    <s v="Neeta Menon"/>
    <n v="33"/>
    <x v="1"/>
    <s v="UPI"/>
    <n v="5"/>
    <s v="Mi 11"/>
  </r>
  <r>
    <n v="1509"/>
    <n v="12"/>
    <n v="12"/>
    <n v="2022"/>
    <s v="Monday"/>
    <x v="1"/>
    <n v="9"/>
    <n v="27121.68"/>
    <s v="Kavita Bhatnagar"/>
    <n v="48"/>
    <x v="1"/>
    <s v="Cash"/>
    <n v="5"/>
    <s v="Vivo Y51"/>
  </r>
  <r>
    <n v="1510"/>
    <n v="12"/>
    <n v="12"/>
    <n v="2022"/>
    <s v="Monday"/>
    <x v="4"/>
    <n v="4"/>
    <n v="67352.2"/>
    <s v="Pooja Pillai"/>
    <n v="44"/>
    <x v="3"/>
    <s v="Cash"/>
    <n v="1"/>
    <s v="iPhone 11"/>
  </r>
  <r>
    <n v="1511"/>
    <n v="13"/>
    <n v="12"/>
    <n v="2022"/>
    <s v="Tuesday"/>
    <x v="4"/>
    <n v="3"/>
    <n v="54046.51"/>
    <s v="Devendra Jain"/>
    <n v="50"/>
    <x v="5"/>
    <s v="Credit Card"/>
    <n v="1"/>
    <s v="iPhone 12"/>
  </r>
  <r>
    <n v="1512"/>
    <n v="13"/>
    <n v="12"/>
    <n v="2022"/>
    <s v="Tuesday"/>
    <x v="0"/>
    <n v="4"/>
    <n v="49701.599999999999"/>
    <s v="Bhavana Mishra"/>
    <n v="46"/>
    <x v="10"/>
    <s v="Debit Card"/>
    <n v="1"/>
    <s v="Redmi 9"/>
  </r>
  <r>
    <n v="1513"/>
    <n v="13"/>
    <n v="12"/>
    <n v="2022"/>
    <s v="Tuesday"/>
    <x v="0"/>
    <n v="4"/>
    <n v="59017.46"/>
    <s v="Vijay Das"/>
    <n v="25"/>
    <x v="1"/>
    <s v="Cash"/>
    <n v="5"/>
    <s v="Redmi Note 10"/>
  </r>
  <r>
    <n v="1514"/>
    <n v="14"/>
    <n v="12"/>
    <n v="2022"/>
    <s v="Wednesday"/>
    <x v="4"/>
    <n v="2"/>
    <n v="17654.59"/>
    <s v="Shruti Verma"/>
    <n v="50"/>
    <x v="16"/>
    <s v="Credit Card"/>
    <n v="3"/>
    <s v="iPhone 11"/>
  </r>
  <r>
    <n v="1515"/>
    <n v="14"/>
    <n v="12"/>
    <n v="2022"/>
    <s v="Wednesday"/>
    <x v="3"/>
    <n v="1"/>
    <n v="61559.97"/>
    <s v="Aditya Patel"/>
    <n v="58"/>
    <x v="5"/>
    <s v="UPI"/>
    <n v="3"/>
    <s v="Galaxy S21"/>
  </r>
  <r>
    <n v="1516"/>
    <n v="14"/>
    <n v="12"/>
    <n v="2022"/>
    <s v="Wednesday"/>
    <x v="4"/>
    <n v="1"/>
    <n v="45689.96"/>
    <s v="Sunita Luthra"/>
    <n v="36"/>
    <x v="9"/>
    <s v="UPI"/>
    <n v="5"/>
    <s v="iPhone 11"/>
  </r>
  <r>
    <n v="1517"/>
    <n v="14"/>
    <n v="12"/>
    <n v="2022"/>
    <s v="Wednesday"/>
    <x v="4"/>
    <n v="8"/>
    <n v="30119.74"/>
    <s v="Manoj Gupta"/>
    <n v="38"/>
    <x v="2"/>
    <s v="Credit Card"/>
    <n v="1"/>
    <s v="iPhone 12"/>
  </r>
  <r>
    <n v="1518"/>
    <n v="15"/>
    <n v="12"/>
    <n v="2022"/>
    <s v="Thursday"/>
    <x v="0"/>
    <n v="2"/>
    <n v="58951.32"/>
    <s v="Pooja Deshmukh"/>
    <n v="58"/>
    <x v="2"/>
    <s v="Debit Card"/>
    <n v="1"/>
    <s v="Redmi Note 10"/>
  </r>
  <r>
    <n v="1519"/>
    <n v="15"/>
    <n v="12"/>
    <n v="2022"/>
    <s v="Thursday"/>
    <x v="0"/>
    <n v="5"/>
    <n v="58153.87"/>
    <s v="Ravi Prasad"/>
    <n v="38"/>
    <x v="0"/>
    <s v="Debit Card"/>
    <n v="4"/>
    <s v="Mi 11"/>
  </r>
  <r>
    <n v="1520"/>
    <n v="15"/>
    <n v="12"/>
    <n v="2022"/>
    <s v="Thursday"/>
    <x v="4"/>
    <n v="4"/>
    <n v="60742.51"/>
    <s v="Umesh Rawat"/>
    <n v="42"/>
    <x v="10"/>
    <s v="Debit Card"/>
    <n v="5"/>
    <s v="iPhone 12"/>
  </r>
  <r>
    <n v="1521"/>
    <n v="16"/>
    <n v="12"/>
    <n v="2022"/>
    <s v="Friday"/>
    <x v="4"/>
    <n v="8"/>
    <n v="16931.07"/>
    <s v="Shruti Pathak"/>
    <n v="59"/>
    <x v="8"/>
    <s v="Debit Card"/>
    <n v="5"/>
    <s v="iPhone 11"/>
  </r>
  <r>
    <n v="1522"/>
    <n v="16"/>
    <n v="12"/>
    <n v="2022"/>
    <s v="Friday"/>
    <x v="4"/>
    <n v="2"/>
    <n v="68161.67"/>
    <s v="Manoj Kapoor"/>
    <n v="40"/>
    <x v="11"/>
    <s v="Credit Card"/>
    <n v="3"/>
    <s v="iPhone 12"/>
  </r>
  <r>
    <n v="1523"/>
    <n v="16"/>
    <n v="12"/>
    <n v="2022"/>
    <s v="Friday"/>
    <x v="0"/>
    <n v="9"/>
    <n v="67577.570000000007"/>
    <s v="Anita Dutta"/>
    <n v="28"/>
    <x v="1"/>
    <s v="Credit Card"/>
    <n v="5"/>
    <s v="Redmi Note 10"/>
  </r>
  <r>
    <n v="1524"/>
    <n v="16"/>
    <n v="12"/>
    <n v="2022"/>
    <s v="Friday"/>
    <x v="4"/>
    <n v="7"/>
    <n v="31448.18"/>
    <s v="Deepika Patel"/>
    <n v="50"/>
    <x v="1"/>
    <s v="UPI"/>
    <n v="1"/>
    <s v="iPhone 12"/>
  </r>
  <r>
    <n v="1525"/>
    <n v="17"/>
    <n v="12"/>
    <n v="2022"/>
    <s v="Saturday"/>
    <x v="4"/>
    <n v="7"/>
    <n v="13953.64"/>
    <s v="Arun Rawat"/>
    <n v="37"/>
    <x v="14"/>
    <s v="UPI"/>
    <n v="5"/>
    <s v="iPhone 11"/>
  </r>
  <r>
    <n v="1526"/>
    <n v="17"/>
    <n v="12"/>
    <n v="2022"/>
    <s v="Saturday"/>
    <x v="2"/>
    <n v="1"/>
    <n v="20023.34"/>
    <s v="Kavita Kapoor"/>
    <n v="42"/>
    <x v="2"/>
    <s v="Debit Card"/>
    <n v="5"/>
    <s v="OnePlus 9"/>
  </r>
  <r>
    <n v="1527"/>
    <n v="17"/>
    <n v="12"/>
    <n v="2022"/>
    <s v="Saturday"/>
    <x v="3"/>
    <n v="2"/>
    <n v="69569.850000000006"/>
    <s v="Sachin Ghosh"/>
    <n v="43"/>
    <x v="8"/>
    <s v="Cash"/>
    <n v="5"/>
    <s v="Galaxy S21"/>
  </r>
  <r>
    <n v="1528"/>
    <n v="17"/>
    <n v="12"/>
    <n v="2022"/>
    <s v="Saturday"/>
    <x v="1"/>
    <n v="4"/>
    <n v="43780.78"/>
    <s v="Sunita Verma"/>
    <n v="57"/>
    <x v="2"/>
    <s v="Cash"/>
    <n v="1"/>
    <s v="Vivo S1"/>
  </r>
  <r>
    <n v="1529"/>
    <n v="18"/>
    <n v="12"/>
    <n v="2022"/>
    <s v="Sunday"/>
    <x v="3"/>
    <n v="4"/>
    <n v="31397.31"/>
    <s v="Prashant Roy"/>
    <n v="29"/>
    <x v="17"/>
    <s v="UPI"/>
    <n v="5"/>
    <s v="Galaxy A51"/>
  </r>
  <r>
    <n v="1530"/>
    <n v="18"/>
    <n v="12"/>
    <n v="2022"/>
    <s v="Sunday"/>
    <x v="2"/>
    <n v="3"/>
    <n v="27292.16"/>
    <s v="Ravi Malhotra"/>
    <n v="49"/>
    <x v="2"/>
    <s v="UPI"/>
    <n v="5"/>
    <s v="OnePlus 8T"/>
  </r>
  <r>
    <n v="1531"/>
    <n v="18"/>
    <n v="12"/>
    <n v="2022"/>
    <s v="Sunday"/>
    <x v="1"/>
    <n v="7"/>
    <n v="25419.5"/>
    <s v="Krishna Alva"/>
    <n v="50"/>
    <x v="4"/>
    <s v="Credit Card"/>
    <n v="4"/>
    <s v="Vivo Y51"/>
  </r>
  <r>
    <n v="1532"/>
    <n v="18"/>
    <n v="12"/>
    <n v="2022"/>
    <s v="Sunday"/>
    <x v="4"/>
    <n v="8"/>
    <n v="49849.17"/>
    <s v="Vivek Sheth"/>
    <n v="27"/>
    <x v="13"/>
    <s v="UPI"/>
    <n v="5"/>
    <s v="iPhone 11"/>
  </r>
  <r>
    <n v="1533"/>
    <n v="19"/>
    <n v="12"/>
    <n v="2022"/>
    <s v="Monday"/>
    <x v="2"/>
    <n v="2"/>
    <n v="35163.269999999997"/>
    <s v="Anita Malhotra"/>
    <n v="21"/>
    <x v="13"/>
    <s v="UPI"/>
    <n v="4"/>
    <s v="OnePlus 8T"/>
  </r>
  <r>
    <n v="1534"/>
    <n v="19"/>
    <n v="12"/>
    <n v="2022"/>
    <s v="Monday"/>
    <x v="4"/>
    <n v="4"/>
    <n v="67924.639999999999"/>
    <s v="Ramesh Srivastava"/>
    <n v="32"/>
    <x v="2"/>
    <s v="Debit Card"/>
    <n v="5"/>
    <s v="iPhone 12"/>
  </r>
  <r>
    <n v="1535"/>
    <n v="19"/>
    <n v="12"/>
    <n v="2022"/>
    <s v="Monday"/>
    <x v="0"/>
    <n v="3"/>
    <n v="51030.58"/>
    <s v="Meena Roy"/>
    <n v="23"/>
    <x v="2"/>
    <s v="Cash"/>
    <n v="5"/>
    <s v="Redmi Note 10"/>
  </r>
  <r>
    <n v="1536"/>
    <n v="19"/>
    <n v="12"/>
    <n v="2022"/>
    <s v="Monday"/>
    <x v="2"/>
    <n v="2"/>
    <n v="57522.68"/>
    <s v="Anita Malhotra"/>
    <n v="44"/>
    <x v="2"/>
    <s v="Cash"/>
    <n v="1"/>
    <s v="OnePlus 8T"/>
  </r>
  <r>
    <n v="1537"/>
    <n v="20"/>
    <n v="12"/>
    <n v="2022"/>
    <s v="Tuesday"/>
    <x v="0"/>
    <n v="6"/>
    <n v="27564.49"/>
    <s v="Tapan Singh"/>
    <n v="22"/>
    <x v="12"/>
    <s v="Credit Card"/>
    <n v="5"/>
    <s v="Mi 11"/>
  </r>
  <r>
    <n v="1538"/>
    <n v="20"/>
    <n v="12"/>
    <n v="2022"/>
    <s v="Tuesday"/>
    <x v="2"/>
    <n v="4"/>
    <n v="14751.18"/>
    <s v="Prashant Deshmukh"/>
    <n v="22"/>
    <x v="6"/>
    <s v="Cash"/>
    <n v="1"/>
    <s v="OnePlus Nord"/>
  </r>
  <r>
    <n v="1539"/>
    <n v="20"/>
    <n v="12"/>
    <n v="2022"/>
    <s v="Tuesday"/>
    <x v="2"/>
    <n v="6"/>
    <n v="39269.370000000003"/>
    <s v="Sunita Mathur"/>
    <n v="35"/>
    <x v="16"/>
    <s v="Debit Card"/>
    <n v="4"/>
    <s v="OnePlus 8T"/>
  </r>
  <r>
    <n v="1540"/>
    <n v="20"/>
    <n v="12"/>
    <n v="2022"/>
    <s v="Tuesday"/>
    <x v="0"/>
    <n v="2"/>
    <n v="28874.89"/>
    <s v="Meena Srivastava"/>
    <n v="45"/>
    <x v="10"/>
    <s v="Debit Card"/>
    <n v="3"/>
    <s v="Redmi 9"/>
  </r>
  <r>
    <n v="1541"/>
    <n v="21"/>
    <n v="12"/>
    <n v="2022"/>
    <s v="Wednesday"/>
    <x v="1"/>
    <n v="4"/>
    <n v="22124.99"/>
    <s v="Anita Rawat"/>
    <n v="52"/>
    <x v="1"/>
    <s v="Credit Card"/>
    <n v="3"/>
    <s v="Vivo Y51"/>
  </r>
  <r>
    <n v="1542"/>
    <n v="21"/>
    <n v="12"/>
    <n v="2022"/>
    <s v="Wednesday"/>
    <x v="3"/>
    <n v="6"/>
    <n v="67158.53"/>
    <s v="Manoj Jain"/>
    <n v="39"/>
    <x v="8"/>
    <s v="UPI"/>
    <n v="4"/>
    <s v="Galaxy Note 20"/>
  </r>
  <r>
    <n v="1543"/>
    <n v="21"/>
    <n v="12"/>
    <n v="2022"/>
    <s v="Wednesday"/>
    <x v="4"/>
    <n v="5"/>
    <n v="36639.29"/>
    <s v="Anjali Srivastava"/>
    <n v="51"/>
    <x v="2"/>
    <s v="UPI"/>
    <n v="3"/>
    <s v="iPhone 12"/>
  </r>
  <r>
    <n v="1544"/>
    <n v="22"/>
    <n v="12"/>
    <n v="2022"/>
    <s v="Thursday"/>
    <x v="2"/>
    <n v="3"/>
    <n v="20482.52"/>
    <s v="Anand Kaur"/>
    <n v="21"/>
    <x v="1"/>
    <s v="Debit Card"/>
    <n v="5"/>
    <s v="OnePlus 8T"/>
  </r>
  <r>
    <n v="1545"/>
    <n v="22"/>
    <n v="12"/>
    <n v="2022"/>
    <s v="Thursday"/>
    <x v="4"/>
    <n v="8"/>
    <n v="21919.040000000001"/>
    <s v="Sunil Varma"/>
    <n v="35"/>
    <x v="1"/>
    <s v="Credit Card"/>
    <n v="5"/>
    <s v="iPhone SE"/>
  </r>
  <r>
    <n v="1546"/>
    <n v="22"/>
    <n v="12"/>
    <n v="2022"/>
    <s v="Thursday"/>
    <x v="0"/>
    <n v="7"/>
    <n v="26842.58"/>
    <s v="Deepika Patel"/>
    <n v="58"/>
    <x v="8"/>
    <s v="Debit Card"/>
    <n v="5"/>
    <s v="Redmi Note 10"/>
  </r>
  <r>
    <n v="1547"/>
    <n v="23"/>
    <n v="12"/>
    <n v="2022"/>
    <s v="Friday"/>
    <x v="4"/>
    <n v="3"/>
    <n v="69958.98"/>
    <s v="Sunil Luthra"/>
    <n v="43"/>
    <x v="1"/>
    <s v="Cash"/>
    <n v="5"/>
    <s v="iPhone SE"/>
  </r>
  <r>
    <n v="1548"/>
    <n v="23"/>
    <n v="12"/>
    <n v="2022"/>
    <s v="Friday"/>
    <x v="0"/>
    <n v="6"/>
    <n v="26080.69"/>
    <s v="Gita Dutta"/>
    <n v="59"/>
    <x v="15"/>
    <s v="Cash"/>
    <n v="3"/>
    <s v="Mi 11"/>
  </r>
  <r>
    <n v="1549"/>
    <n v="23"/>
    <n v="12"/>
    <n v="2022"/>
    <s v="Friday"/>
    <x v="4"/>
    <n v="4"/>
    <n v="29728.11"/>
    <s v="Mala Dutta"/>
    <n v="39"/>
    <x v="17"/>
    <s v="Debit Card"/>
    <n v="1"/>
    <s v="iPhone 12"/>
  </r>
  <r>
    <n v="1550"/>
    <n v="24"/>
    <n v="12"/>
    <n v="2022"/>
    <s v="Saturday"/>
    <x v="3"/>
    <n v="5"/>
    <n v="49559.69"/>
    <s v="Amit Chatterjee"/>
    <n v="50"/>
    <x v="2"/>
    <s v="UPI"/>
    <n v="5"/>
    <s v="Galaxy A51"/>
  </r>
  <r>
    <n v="1551"/>
    <n v="24"/>
    <n v="12"/>
    <n v="2022"/>
    <s v="Saturday"/>
    <x v="3"/>
    <n v="5"/>
    <n v="27637.68"/>
    <s v="Shruti Dutta"/>
    <n v="31"/>
    <x v="2"/>
    <s v="Cash"/>
    <n v="1"/>
    <s v="Galaxy Note 20"/>
  </r>
  <r>
    <n v="1552"/>
    <n v="24"/>
    <n v="12"/>
    <n v="2022"/>
    <s v="Saturday"/>
    <x v="3"/>
    <n v="7"/>
    <n v="22948.26"/>
    <s v="Ramesh Varma"/>
    <n v="48"/>
    <x v="3"/>
    <s v="Credit Card"/>
    <n v="3"/>
    <s v="Galaxy A51"/>
  </r>
  <r>
    <n v="1553"/>
    <n v="24"/>
    <n v="12"/>
    <n v="2022"/>
    <s v="Saturday"/>
    <x v="3"/>
    <n v="5"/>
    <n v="19518.23"/>
    <s v="Reena Kulkarni"/>
    <n v="27"/>
    <x v="11"/>
    <s v="UPI"/>
    <n v="1"/>
    <s v="Galaxy Note 20"/>
  </r>
  <r>
    <n v="1554"/>
    <n v="25"/>
    <n v="12"/>
    <n v="2022"/>
    <s v="Sunday"/>
    <x v="3"/>
    <n v="3"/>
    <n v="28760.959999999999"/>
    <s v="Anand Kaur"/>
    <n v="41"/>
    <x v="7"/>
    <s v="Cash"/>
    <n v="3"/>
    <s v="Galaxy A51"/>
  </r>
  <r>
    <n v="1555"/>
    <n v="25"/>
    <n v="12"/>
    <n v="2022"/>
    <s v="Sunday"/>
    <x v="3"/>
    <n v="5"/>
    <n v="16354.94"/>
    <s v="Sunil Siddiqui"/>
    <n v="38"/>
    <x v="1"/>
    <s v="Debit Card"/>
    <n v="5"/>
    <s v="Galaxy Note 20"/>
  </r>
  <r>
    <n v="1556"/>
    <n v="25"/>
    <n v="12"/>
    <n v="2022"/>
    <s v="Sunday"/>
    <x v="0"/>
    <n v="7"/>
    <n v="11118.8"/>
    <s v="Rohan Sheth"/>
    <n v="25"/>
    <x v="1"/>
    <s v="UPI"/>
    <n v="5"/>
    <s v="Redmi 9"/>
  </r>
  <r>
    <n v="1557"/>
    <n v="26"/>
    <n v="12"/>
    <n v="2022"/>
    <s v="Monday"/>
    <x v="2"/>
    <n v="5"/>
    <n v="58278.5"/>
    <s v="Sunita Iyer"/>
    <n v="49"/>
    <x v="11"/>
    <s v="UPI"/>
    <n v="4"/>
    <s v="OnePlus 9"/>
  </r>
  <r>
    <n v="1558"/>
    <n v="26"/>
    <n v="12"/>
    <n v="2022"/>
    <s v="Monday"/>
    <x v="4"/>
    <n v="5"/>
    <n v="18273.7"/>
    <s v="Bhavana Ghosh"/>
    <n v="48"/>
    <x v="2"/>
    <s v="Cash"/>
    <n v="3"/>
    <s v="iPhone 11"/>
  </r>
  <r>
    <n v="1559"/>
    <n v="26"/>
    <n v="12"/>
    <n v="2022"/>
    <s v="Monday"/>
    <x v="3"/>
    <n v="9"/>
    <n v="56558.61"/>
    <s v="Priya Thakur"/>
    <n v="51"/>
    <x v="1"/>
    <s v="Credit Card"/>
    <n v="5"/>
    <s v="Galaxy Note 20"/>
  </r>
  <r>
    <n v="1560"/>
    <n v="26"/>
    <n v="12"/>
    <n v="2022"/>
    <s v="Monday"/>
    <x v="0"/>
    <n v="3"/>
    <n v="57852.55"/>
    <s v="Sanjay Srivastava"/>
    <n v="40"/>
    <x v="9"/>
    <s v="Cash"/>
    <n v="1"/>
    <s v="Redmi 9"/>
  </r>
  <r>
    <n v="1561"/>
    <n v="27"/>
    <n v="12"/>
    <n v="2022"/>
    <s v="Tuesday"/>
    <x v="0"/>
    <n v="6"/>
    <n v="42275.17"/>
    <s v="Meena Sheth"/>
    <n v="42"/>
    <x v="18"/>
    <s v="Cash"/>
    <n v="5"/>
    <s v="Mi 11"/>
  </r>
  <r>
    <n v="1562"/>
    <n v="27"/>
    <n v="12"/>
    <n v="2022"/>
    <s v="Tuesday"/>
    <x v="0"/>
    <n v="1"/>
    <n v="28580.92"/>
    <s v="Meena Joshi"/>
    <n v="24"/>
    <x v="2"/>
    <s v="Cash"/>
    <n v="1"/>
    <s v="Redmi Note 10"/>
  </r>
  <r>
    <n v="1563"/>
    <n v="27"/>
    <n v="12"/>
    <n v="2022"/>
    <s v="Tuesday"/>
    <x v="2"/>
    <n v="5"/>
    <n v="18701.96"/>
    <s v="Manoj Gupta"/>
    <n v="36"/>
    <x v="1"/>
    <s v="Cash"/>
    <n v="1"/>
    <s v="OnePlus Nord"/>
  </r>
  <r>
    <n v="1564"/>
    <n v="27"/>
    <n v="12"/>
    <n v="2022"/>
    <s v="Tuesday"/>
    <x v="4"/>
    <n v="8"/>
    <n v="54208.31"/>
    <s v="Anand Kaur"/>
    <n v="24"/>
    <x v="1"/>
    <s v="Cash"/>
    <n v="1"/>
    <s v="iPhone SE"/>
  </r>
  <r>
    <n v="1565"/>
    <n v="28"/>
    <n v="12"/>
    <n v="2022"/>
    <s v="Wednesday"/>
    <x v="2"/>
    <n v="5"/>
    <n v="46083.22"/>
    <s v="Rohan Dutta"/>
    <n v="25"/>
    <x v="10"/>
    <s v="Debit Card"/>
    <n v="1"/>
    <s v="OnePlus Nord"/>
  </r>
  <r>
    <n v="1566"/>
    <n v="28"/>
    <n v="12"/>
    <n v="2022"/>
    <s v="Wednesday"/>
    <x v="1"/>
    <n v="9"/>
    <n v="49327.21"/>
    <s v="Prashant Deshmukh"/>
    <n v="31"/>
    <x v="13"/>
    <s v="Cash"/>
    <n v="5"/>
    <s v="Vivo V20"/>
  </r>
  <r>
    <n v="1567"/>
    <n v="28"/>
    <n v="12"/>
    <n v="2022"/>
    <s v="Wednesday"/>
    <x v="0"/>
    <n v="6"/>
    <n v="10520.15"/>
    <s v="Priya Kaur"/>
    <n v="18"/>
    <x v="1"/>
    <s v="Credit Card"/>
    <n v="1"/>
    <s v="Redmi Note 10"/>
  </r>
  <r>
    <n v="1568"/>
    <n v="29"/>
    <n v="12"/>
    <n v="2022"/>
    <s v="Thursday"/>
    <x v="1"/>
    <n v="8"/>
    <n v="65651.02"/>
    <s v="Anand Siddiqui"/>
    <n v="30"/>
    <x v="1"/>
    <s v="UPI"/>
    <n v="5"/>
    <s v="Vivo Y51"/>
  </r>
  <r>
    <n v="1569"/>
    <n v="29"/>
    <n v="12"/>
    <n v="2022"/>
    <s v="Thursday"/>
    <x v="3"/>
    <n v="8"/>
    <n v="13977.41"/>
    <s v="Rajesh Ghosh"/>
    <n v="20"/>
    <x v="1"/>
    <s v="Debit Card"/>
    <n v="4"/>
    <s v="Galaxy A51"/>
  </r>
  <r>
    <n v="1570"/>
    <n v="29"/>
    <n v="12"/>
    <n v="2022"/>
    <s v="Thursday"/>
    <x v="3"/>
    <n v="3"/>
    <n v="32008.35"/>
    <s v="Sanjay Roy"/>
    <n v="45"/>
    <x v="2"/>
    <s v="Credit Card"/>
    <n v="5"/>
    <s v="Galaxy S21"/>
  </r>
  <r>
    <n v="1571"/>
    <n v="30"/>
    <n v="12"/>
    <n v="2022"/>
    <s v="Friday"/>
    <x v="2"/>
    <n v="7"/>
    <n v="34162.699999999997"/>
    <s v="Kavita Kumar"/>
    <n v="55"/>
    <x v="4"/>
    <s v="Cash"/>
    <n v="1"/>
    <s v="OnePlus 8T"/>
  </r>
  <r>
    <n v="1572"/>
    <n v="30"/>
    <n v="12"/>
    <n v="2022"/>
    <s v="Friday"/>
    <x v="4"/>
    <n v="7"/>
    <n v="10081.33"/>
    <s v="Prashant Jain"/>
    <n v="32"/>
    <x v="1"/>
    <s v="Credit Card"/>
    <n v="4"/>
    <s v="iPhone 12"/>
  </r>
  <r>
    <n v="1573"/>
    <n v="30"/>
    <n v="12"/>
    <n v="2022"/>
    <s v="Friday"/>
    <x v="1"/>
    <n v="6"/>
    <n v="39825.360000000001"/>
    <s v="Namita Teja"/>
    <n v="53"/>
    <x v="1"/>
    <s v="UPI"/>
    <n v="5"/>
    <s v="Vivo V20"/>
  </r>
  <r>
    <n v="1574"/>
    <n v="30"/>
    <n v="12"/>
    <n v="2022"/>
    <s v="Friday"/>
    <x v="4"/>
    <n v="7"/>
    <n v="55168.54"/>
    <s v="Yogesh Mishra"/>
    <n v="20"/>
    <x v="10"/>
    <s v="Credit Card"/>
    <n v="5"/>
    <s v="iPhone 12"/>
  </r>
  <r>
    <n v="1575"/>
    <n v="31"/>
    <n v="12"/>
    <n v="2022"/>
    <s v="Saturday"/>
    <x v="2"/>
    <n v="2"/>
    <n v="59396.12"/>
    <s v="Anita Joshi"/>
    <n v="21"/>
    <x v="5"/>
    <s v="Cash"/>
    <n v="5"/>
    <s v="OnePlus 8T"/>
  </r>
  <r>
    <n v="1576"/>
    <n v="31"/>
    <n v="12"/>
    <n v="2022"/>
    <s v="Saturday"/>
    <x v="3"/>
    <n v="9"/>
    <n v="62763.82"/>
    <s v="Rohan Deshmukh"/>
    <n v="22"/>
    <x v="2"/>
    <s v="UPI"/>
    <n v="4"/>
    <s v="Galaxy S21"/>
  </r>
  <r>
    <n v="1577"/>
    <n v="31"/>
    <n v="12"/>
    <n v="2022"/>
    <s v="Saturday"/>
    <x v="4"/>
    <n v="1"/>
    <n v="39263.129999999997"/>
    <s v="Vivek Rawat"/>
    <n v="43"/>
    <x v="2"/>
    <s v="Cash"/>
    <n v="5"/>
    <s v="iPhone 12"/>
  </r>
  <r>
    <n v="1578"/>
    <n v="1"/>
    <n v="1"/>
    <n v="2023"/>
    <s v="Sunday"/>
    <x v="4"/>
    <n v="1"/>
    <n v="47838.17"/>
    <s v="Priya Bhattacharya"/>
    <n v="42"/>
    <x v="18"/>
    <s v="Cash"/>
    <n v="1"/>
    <s v="iPhone 12"/>
  </r>
  <r>
    <n v="1579"/>
    <n v="1"/>
    <n v="1"/>
    <n v="2023"/>
    <s v="Sunday"/>
    <x v="3"/>
    <n v="3"/>
    <n v="14771.18"/>
    <s v="Tapan Singh"/>
    <n v="27"/>
    <x v="9"/>
    <s v="Debit Card"/>
    <n v="5"/>
    <s v="Galaxy A51"/>
  </r>
  <r>
    <n v="1580"/>
    <n v="1"/>
    <n v="1"/>
    <n v="2023"/>
    <s v="Sunday"/>
    <x v="1"/>
    <n v="3"/>
    <n v="39282.29"/>
    <s v="Meena Desai"/>
    <n v="25"/>
    <x v="2"/>
    <s v="UPI"/>
    <n v="1"/>
    <s v="Vivo V20"/>
  </r>
  <r>
    <n v="1581"/>
    <n v="1"/>
    <n v="1"/>
    <n v="2023"/>
    <s v="Sunday"/>
    <x v="3"/>
    <n v="1"/>
    <n v="19288.95"/>
    <s v="Pankaj Pathak"/>
    <n v="29"/>
    <x v="1"/>
    <s v="UPI"/>
    <n v="3"/>
    <s v="Galaxy A51"/>
  </r>
  <r>
    <n v="1582"/>
    <n v="2"/>
    <n v="1"/>
    <n v="2023"/>
    <s v="Monday"/>
    <x v="4"/>
    <n v="7"/>
    <n v="32178.59"/>
    <s v="Rajesh Chaudhary"/>
    <n v="20"/>
    <x v="1"/>
    <s v="Cash"/>
    <n v="5"/>
    <s v="iPhone 12"/>
  </r>
  <r>
    <n v="1583"/>
    <n v="2"/>
    <n v="1"/>
    <n v="2023"/>
    <s v="Monday"/>
    <x v="1"/>
    <n v="4"/>
    <n v="29758.32"/>
    <s v="Lata Shah"/>
    <n v="44"/>
    <x v="7"/>
    <s v="Credit Card"/>
    <n v="5"/>
    <s v="Vivo S1"/>
  </r>
  <r>
    <n v="1584"/>
    <n v="2"/>
    <n v="1"/>
    <n v="2023"/>
    <s v="Monday"/>
    <x v="1"/>
    <n v="2"/>
    <n v="35412.43"/>
    <s v="Anand Patel"/>
    <n v="40"/>
    <x v="18"/>
    <s v="UPI"/>
    <n v="5"/>
    <s v="Vivo V20"/>
  </r>
  <r>
    <n v="1585"/>
    <n v="2"/>
    <n v="1"/>
    <n v="2023"/>
    <s v="Monday"/>
    <x v="3"/>
    <n v="5"/>
    <n v="44298.2"/>
    <s v="Meena Rathod"/>
    <n v="57"/>
    <x v="14"/>
    <s v="Credit Card"/>
    <n v="5"/>
    <s v="Galaxy A51"/>
  </r>
  <r>
    <n v="1586"/>
    <n v="3"/>
    <n v="1"/>
    <n v="2023"/>
    <s v="Tuesday"/>
    <x v="4"/>
    <n v="6"/>
    <n v="64172.6"/>
    <s v="Jyoti Iyer"/>
    <n v="50"/>
    <x v="9"/>
    <s v="Credit Card"/>
    <n v="4"/>
    <s v="iPhone SE"/>
  </r>
  <r>
    <n v="1587"/>
    <n v="3"/>
    <n v="1"/>
    <n v="2023"/>
    <s v="Tuesday"/>
    <x v="2"/>
    <n v="9"/>
    <n v="33669.08"/>
    <s v="Ramesh Gupta"/>
    <n v="31"/>
    <x v="1"/>
    <s v="UPI"/>
    <n v="1"/>
    <s v="OnePlus Nord"/>
  </r>
  <r>
    <n v="1588"/>
    <n v="3"/>
    <n v="1"/>
    <n v="2023"/>
    <s v="Tuesday"/>
    <x v="4"/>
    <n v="4"/>
    <n v="68867.87"/>
    <s v="Sumit Chatterjee"/>
    <n v="40"/>
    <x v="3"/>
    <s v="Credit Card"/>
    <n v="5"/>
    <s v="iPhone 12"/>
  </r>
  <r>
    <n v="1589"/>
    <n v="3"/>
    <n v="1"/>
    <n v="2023"/>
    <s v="Tuesday"/>
    <x v="0"/>
    <n v="2"/>
    <n v="55541.68"/>
    <s v="Reena Patel"/>
    <n v="48"/>
    <x v="2"/>
    <s v="UPI"/>
    <n v="4"/>
    <s v="Mi 11"/>
  </r>
  <r>
    <n v="1590"/>
    <n v="4"/>
    <n v="1"/>
    <n v="2023"/>
    <s v="Wednesday"/>
    <x v="2"/>
    <n v="5"/>
    <n v="40688.86"/>
    <s v="Manoj Siddiqui"/>
    <n v="30"/>
    <x v="2"/>
    <s v="Debit Card"/>
    <n v="1"/>
    <s v="OnePlus Nord"/>
  </r>
  <r>
    <n v="1591"/>
    <n v="4"/>
    <n v="1"/>
    <n v="2023"/>
    <s v="Wednesday"/>
    <x v="1"/>
    <n v="3"/>
    <n v="48641.59"/>
    <s v="Lalita Rathod"/>
    <n v="29"/>
    <x v="1"/>
    <s v="UPI"/>
    <n v="1"/>
    <s v="Vivo S1"/>
  </r>
  <r>
    <n v="1592"/>
    <n v="4"/>
    <n v="1"/>
    <n v="2023"/>
    <s v="Wednesday"/>
    <x v="2"/>
    <n v="2"/>
    <n v="16133.45"/>
    <s v="Ravi Kulkarni"/>
    <n v="52"/>
    <x v="2"/>
    <s v="UPI"/>
    <n v="1"/>
    <s v="OnePlus Nord"/>
  </r>
  <r>
    <n v="1593"/>
    <n v="4"/>
    <n v="1"/>
    <n v="2023"/>
    <s v="Wednesday"/>
    <x v="1"/>
    <n v="1"/>
    <n v="60671.29"/>
    <s v="Arun Kapoor"/>
    <n v="35"/>
    <x v="2"/>
    <s v="UPI"/>
    <n v="3"/>
    <s v="Vivo S1"/>
  </r>
  <r>
    <n v="1594"/>
    <n v="5"/>
    <n v="1"/>
    <n v="2023"/>
    <s v="Thursday"/>
    <x v="1"/>
    <n v="2"/>
    <n v="44941.45"/>
    <s v="Isha Dutta"/>
    <n v="38"/>
    <x v="2"/>
    <s v="Debit Card"/>
    <n v="1"/>
    <s v="Vivo S1"/>
  </r>
  <r>
    <n v="1595"/>
    <n v="5"/>
    <n v="1"/>
    <n v="2023"/>
    <s v="Thursday"/>
    <x v="2"/>
    <n v="6"/>
    <n v="69164.05"/>
    <s v="Vivek Bhattacharya"/>
    <n v="59"/>
    <x v="7"/>
    <s v="Credit Card"/>
    <n v="4"/>
    <s v="OnePlus 8T"/>
  </r>
  <r>
    <n v="1596"/>
    <n v="5"/>
    <n v="1"/>
    <n v="2023"/>
    <s v="Thursday"/>
    <x v="1"/>
    <n v="8"/>
    <n v="48185.72"/>
    <s v="Devendra Rao"/>
    <n v="18"/>
    <x v="16"/>
    <s v="Debit Card"/>
    <n v="1"/>
    <s v="Vivo V20"/>
  </r>
  <r>
    <n v="1597"/>
    <n v="5"/>
    <n v="1"/>
    <n v="2023"/>
    <s v="Thursday"/>
    <x v="1"/>
    <n v="3"/>
    <n v="60046.69"/>
    <s v="Prashant Luthra"/>
    <n v="55"/>
    <x v="2"/>
    <s v="Credit Card"/>
    <n v="1"/>
    <s v="Vivo Y51"/>
  </r>
  <r>
    <n v="1598"/>
    <n v="6"/>
    <n v="1"/>
    <n v="2023"/>
    <s v="Friday"/>
    <x v="0"/>
    <n v="9"/>
    <n v="57985.760000000002"/>
    <s v="Shruti Kulkarni"/>
    <n v="58"/>
    <x v="1"/>
    <s v="UPI"/>
    <n v="4"/>
    <s v="Redmi Note 10"/>
  </r>
  <r>
    <n v="1599"/>
    <n v="6"/>
    <n v="1"/>
    <n v="2023"/>
    <s v="Friday"/>
    <x v="4"/>
    <n v="9"/>
    <n v="30727.67"/>
    <s v="Monika Goyal"/>
    <n v="59"/>
    <x v="1"/>
    <s v="UPI"/>
    <n v="5"/>
    <s v="iPhone 11"/>
  </r>
  <r>
    <n v="1600"/>
    <n v="6"/>
    <n v="1"/>
    <n v="2023"/>
    <s v="Friday"/>
    <x v="4"/>
    <n v="2"/>
    <n v="25576.639999999999"/>
    <s v="Kiran Jain"/>
    <n v="26"/>
    <x v="1"/>
    <s v="Debit Card"/>
    <n v="1"/>
    <s v="iPhone 12"/>
  </r>
  <r>
    <n v="1601"/>
    <n v="7"/>
    <n v="1"/>
    <n v="2023"/>
    <s v="Saturday"/>
    <x v="0"/>
    <n v="8"/>
    <n v="35829.620000000003"/>
    <s v="Arun Dutta"/>
    <n v="40"/>
    <x v="3"/>
    <s v="Debit Card"/>
    <n v="4"/>
    <s v="Redmi 9"/>
  </r>
  <r>
    <n v="1602"/>
    <n v="7"/>
    <n v="1"/>
    <n v="2023"/>
    <s v="Saturday"/>
    <x v="2"/>
    <n v="5"/>
    <n v="38034.480000000003"/>
    <s v="Tapan Kumar"/>
    <n v="31"/>
    <x v="1"/>
    <s v="Debit Card"/>
    <n v="5"/>
    <s v="OnePlus 9"/>
  </r>
  <r>
    <n v="1603"/>
    <n v="7"/>
    <n v="1"/>
    <n v="2023"/>
    <s v="Saturday"/>
    <x v="3"/>
    <n v="4"/>
    <n v="24405.08"/>
    <s v="Bhavana Mathur"/>
    <n v="28"/>
    <x v="6"/>
    <s v="Debit Card"/>
    <n v="4"/>
    <s v="Galaxy S21"/>
  </r>
  <r>
    <n v="1604"/>
    <n v="8"/>
    <n v="1"/>
    <n v="2023"/>
    <s v="Sunday"/>
    <x v="3"/>
    <n v="5"/>
    <n v="63675.87"/>
    <s v="Devendra Menon"/>
    <n v="24"/>
    <x v="16"/>
    <s v="UPI"/>
    <n v="3"/>
    <s v="Galaxy A51"/>
  </r>
  <r>
    <n v="1605"/>
    <n v="8"/>
    <n v="1"/>
    <n v="2023"/>
    <s v="Sunday"/>
    <x v="3"/>
    <n v="4"/>
    <n v="42552.87"/>
    <s v="Lata Joshi"/>
    <n v="48"/>
    <x v="1"/>
    <s v="UPI"/>
    <n v="5"/>
    <s v="Galaxy A51"/>
  </r>
  <r>
    <n v="1606"/>
    <n v="8"/>
    <n v="1"/>
    <n v="2023"/>
    <s v="Sunday"/>
    <x v="0"/>
    <n v="8"/>
    <n v="68706.66"/>
    <s v="Sachin Ghosh"/>
    <n v="41"/>
    <x v="6"/>
    <s v="Cash"/>
    <n v="5"/>
    <s v="Redmi Note 10"/>
  </r>
  <r>
    <n v="1607"/>
    <n v="8"/>
    <n v="1"/>
    <n v="2023"/>
    <s v="Sunday"/>
    <x v="0"/>
    <n v="4"/>
    <n v="58601.07"/>
    <s v="Yogesh Roy"/>
    <n v="43"/>
    <x v="4"/>
    <s v="Debit Card"/>
    <n v="5"/>
    <s v="Redmi Note 10"/>
  </r>
  <r>
    <n v="1608"/>
    <n v="9"/>
    <n v="1"/>
    <n v="2023"/>
    <s v="Monday"/>
    <x v="1"/>
    <n v="6"/>
    <n v="43342.29"/>
    <s v="Vivek Srivastava"/>
    <n v="47"/>
    <x v="1"/>
    <s v="Debit Card"/>
    <n v="4"/>
    <s v="Vivo S1"/>
  </r>
  <r>
    <n v="1609"/>
    <n v="9"/>
    <n v="1"/>
    <n v="2023"/>
    <s v="Monday"/>
    <x v="3"/>
    <n v="2"/>
    <n v="66822.42"/>
    <s v="Meena Pillai"/>
    <n v="51"/>
    <x v="12"/>
    <s v="Credit Card"/>
    <n v="4"/>
    <s v="Galaxy Note 20"/>
  </r>
  <r>
    <n v="1610"/>
    <n v="9"/>
    <n v="1"/>
    <n v="2023"/>
    <s v="Monday"/>
    <x v="2"/>
    <n v="5"/>
    <n v="40292.49"/>
    <s v="Rohan Sheth"/>
    <n v="55"/>
    <x v="3"/>
    <s v="Credit Card"/>
    <n v="1"/>
    <s v="OnePlus Nord"/>
  </r>
  <r>
    <n v="1611"/>
    <n v="9"/>
    <n v="1"/>
    <n v="2023"/>
    <s v="Monday"/>
    <x v="2"/>
    <n v="6"/>
    <n v="63226.39"/>
    <s v="Vivek Shah"/>
    <n v="22"/>
    <x v="1"/>
    <s v="UPI"/>
    <n v="1"/>
    <s v="OnePlus 9"/>
  </r>
  <r>
    <n v="1612"/>
    <n v="10"/>
    <n v="1"/>
    <n v="2023"/>
    <s v="Tuesday"/>
    <x v="3"/>
    <n v="5"/>
    <n v="31488.69"/>
    <s v="Manoj Sharma"/>
    <n v="22"/>
    <x v="10"/>
    <s v="Cash"/>
    <n v="3"/>
    <s v="Galaxy S21"/>
  </r>
  <r>
    <n v="1613"/>
    <n v="10"/>
    <n v="1"/>
    <n v="2023"/>
    <s v="Tuesday"/>
    <x v="3"/>
    <n v="2"/>
    <n v="32718.54"/>
    <s v="Vivek Nambiar"/>
    <n v="36"/>
    <x v="2"/>
    <s v="Debit Card"/>
    <n v="1"/>
    <s v="Galaxy S21"/>
  </r>
  <r>
    <n v="1614"/>
    <n v="10"/>
    <n v="1"/>
    <n v="2023"/>
    <s v="Tuesday"/>
    <x v="3"/>
    <n v="7"/>
    <n v="35087.839999999997"/>
    <s v="Amit Pillai"/>
    <n v="55"/>
    <x v="15"/>
    <s v="Cash"/>
    <n v="4"/>
    <s v="Galaxy A51"/>
  </r>
  <r>
    <n v="1615"/>
    <n v="11"/>
    <n v="1"/>
    <n v="2023"/>
    <s v="Wednesday"/>
    <x v="0"/>
    <n v="4"/>
    <n v="42797.54"/>
    <s v="Lalita Verma"/>
    <n v="45"/>
    <x v="1"/>
    <s v="Cash"/>
    <n v="4"/>
    <s v="Redmi 9"/>
  </r>
  <r>
    <n v="1616"/>
    <n v="11"/>
    <n v="1"/>
    <n v="2023"/>
    <s v="Wednesday"/>
    <x v="0"/>
    <n v="8"/>
    <n v="43209.42"/>
    <s v="Nikhil Patel"/>
    <n v="43"/>
    <x v="2"/>
    <s v="UPI"/>
    <n v="1"/>
    <s v="Mi 11"/>
  </r>
  <r>
    <n v="1617"/>
    <n v="11"/>
    <n v="1"/>
    <n v="2023"/>
    <s v="Wednesday"/>
    <x v="0"/>
    <n v="7"/>
    <n v="39783.94"/>
    <s v="Ayesha Roy"/>
    <n v="59"/>
    <x v="3"/>
    <s v="Cash"/>
    <n v="3"/>
    <s v="Redmi Note 10"/>
  </r>
  <r>
    <n v="1618"/>
    <n v="12"/>
    <n v="1"/>
    <n v="2023"/>
    <s v="Thursday"/>
    <x v="4"/>
    <n v="7"/>
    <n v="28360.06"/>
    <s v="Yogesh Kulkarni"/>
    <n v="40"/>
    <x v="13"/>
    <s v="Debit Card"/>
    <n v="4"/>
    <s v="iPhone 12"/>
  </r>
  <r>
    <n v="1619"/>
    <n v="12"/>
    <n v="1"/>
    <n v="2023"/>
    <s v="Thursday"/>
    <x v="2"/>
    <n v="9"/>
    <n v="65632.39"/>
    <s v="Aditya Sheth"/>
    <n v="47"/>
    <x v="1"/>
    <s v="UPI"/>
    <n v="3"/>
    <s v="OnePlus Nord"/>
  </r>
  <r>
    <n v="1620"/>
    <n v="12"/>
    <n v="1"/>
    <n v="2023"/>
    <s v="Thursday"/>
    <x v="2"/>
    <n v="1"/>
    <n v="45315.17"/>
    <s v="Shruti Teja"/>
    <n v="20"/>
    <x v="7"/>
    <s v="Cash"/>
    <n v="4"/>
    <s v="OnePlus 9"/>
  </r>
  <r>
    <n v="1621"/>
    <n v="12"/>
    <n v="1"/>
    <n v="2023"/>
    <s v="Thursday"/>
    <x v="1"/>
    <n v="6"/>
    <n v="34464.35"/>
    <s v="Priya Teja"/>
    <n v="45"/>
    <x v="4"/>
    <s v="UPI"/>
    <n v="3"/>
    <s v="Vivo Y51"/>
  </r>
  <r>
    <n v="1622"/>
    <n v="13"/>
    <n v="1"/>
    <n v="2023"/>
    <s v="Friday"/>
    <x v="0"/>
    <n v="6"/>
    <n v="49070.62"/>
    <s v="Krishna Patel"/>
    <n v="50"/>
    <x v="2"/>
    <s v="UPI"/>
    <n v="3"/>
    <s v="Redmi 9"/>
  </r>
  <r>
    <n v="1623"/>
    <n v="13"/>
    <n v="1"/>
    <n v="2023"/>
    <s v="Friday"/>
    <x v="4"/>
    <n v="6"/>
    <n v="56078.01"/>
    <s v="Tanuja Gupta"/>
    <n v="59"/>
    <x v="2"/>
    <s v="Credit Card"/>
    <n v="3"/>
    <s v="iPhone 12"/>
  </r>
  <r>
    <n v="1624"/>
    <n v="13"/>
    <n v="1"/>
    <n v="2023"/>
    <s v="Friday"/>
    <x v="4"/>
    <n v="6"/>
    <n v="67643.69"/>
    <s v="Radha Nair"/>
    <n v="20"/>
    <x v="5"/>
    <s v="UPI"/>
    <n v="1"/>
    <s v="iPhone SE"/>
  </r>
  <r>
    <n v="1625"/>
    <n v="14"/>
    <n v="1"/>
    <n v="2023"/>
    <s v="Saturday"/>
    <x v="2"/>
    <n v="7"/>
    <n v="39972.949999999997"/>
    <s v="Meena Verma"/>
    <n v="22"/>
    <x v="0"/>
    <s v="Cash"/>
    <n v="5"/>
    <s v="OnePlus Nord"/>
  </r>
  <r>
    <n v="1626"/>
    <n v="14"/>
    <n v="1"/>
    <n v="2023"/>
    <s v="Saturday"/>
    <x v="0"/>
    <n v="6"/>
    <n v="16725.91"/>
    <s v="Lata Verma"/>
    <n v="36"/>
    <x v="1"/>
    <s v="Credit Card"/>
    <n v="3"/>
    <s v="Mi 11"/>
  </r>
  <r>
    <n v="1627"/>
    <n v="14"/>
    <n v="1"/>
    <n v="2023"/>
    <s v="Saturday"/>
    <x v="1"/>
    <n v="1"/>
    <n v="36445.949999999997"/>
    <s v="Tanuja Bhatnagar"/>
    <n v="59"/>
    <x v="16"/>
    <s v="Debit Card"/>
    <n v="3"/>
    <s v="Vivo S1"/>
  </r>
  <r>
    <n v="1628"/>
    <n v="14"/>
    <n v="1"/>
    <n v="2023"/>
    <s v="Saturday"/>
    <x v="0"/>
    <n v="3"/>
    <n v="38738.230000000003"/>
    <s v="Sachin Chaudhary"/>
    <n v="18"/>
    <x v="7"/>
    <s v="Debit Card"/>
    <n v="4"/>
    <s v="Redmi Note 10"/>
  </r>
  <r>
    <n v="1629"/>
    <n v="15"/>
    <n v="1"/>
    <n v="2023"/>
    <s v="Sunday"/>
    <x v="3"/>
    <n v="2"/>
    <n v="63819.64"/>
    <s v="Namita Goyal"/>
    <n v="55"/>
    <x v="1"/>
    <s v="Debit Card"/>
    <n v="5"/>
    <s v="Galaxy Note 20"/>
  </r>
  <r>
    <n v="1630"/>
    <n v="15"/>
    <n v="1"/>
    <n v="2023"/>
    <s v="Sunday"/>
    <x v="0"/>
    <n v="6"/>
    <n v="33688.050000000003"/>
    <s v="Shruti Chaudhary"/>
    <n v="26"/>
    <x v="1"/>
    <s v="Debit Card"/>
    <n v="4"/>
    <s v="Redmi 9"/>
  </r>
  <r>
    <n v="1631"/>
    <n v="15"/>
    <n v="1"/>
    <n v="2023"/>
    <s v="Sunday"/>
    <x v="3"/>
    <n v="8"/>
    <n v="67199.460000000006"/>
    <s v="Shruti Ahuja"/>
    <n v="22"/>
    <x v="2"/>
    <s v="Debit Card"/>
    <n v="4"/>
    <s v="Galaxy S21"/>
  </r>
  <r>
    <n v="1632"/>
    <n v="16"/>
    <n v="1"/>
    <n v="2023"/>
    <s v="Monday"/>
    <x v="3"/>
    <n v="3"/>
    <n v="39107.910000000003"/>
    <s v="Bina Das"/>
    <n v="59"/>
    <x v="1"/>
    <s v="Cash"/>
    <n v="3"/>
    <s v="Galaxy A51"/>
  </r>
  <r>
    <n v="1633"/>
    <n v="16"/>
    <n v="1"/>
    <n v="2023"/>
    <s v="Monday"/>
    <x v="1"/>
    <n v="8"/>
    <n v="68426.83"/>
    <s v="Neeta Pillai"/>
    <n v="51"/>
    <x v="1"/>
    <s v="UPI"/>
    <n v="5"/>
    <s v="Vivo S1"/>
  </r>
  <r>
    <n v="1634"/>
    <n v="16"/>
    <n v="1"/>
    <n v="2023"/>
    <s v="Monday"/>
    <x v="2"/>
    <n v="8"/>
    <n v="10491.9"/>
    <s v="Vijay Rao"/>
    <n v="54"/>
    <x v="16"/>
    <s v="Credit Card"/>
    <n v="5"/>
    <s v="OnePlus 8T"/>
  </r>
  <r>
    <n v="1635"/>
    <n v="16"/>
    <n v="1"/>
    <n v="2023"/>
    <s v="Monday"/>
    <x v="0"/>
    <n v="5"/>
    <n v="63928.92"/>
    <s v="Rohan Rathod"/>
    <n v="50"/>
    <x v="12"/>
    <s v="UPI"/>
    <n v="4"/>
    <s v="Mi 11"/>
  </r>
  <r>
    <n v="1636"/>
    <n v="17"/>
    <n v="1"/>
    <n v="2023"/>
    <s v="Tuesday"/>
    <x v="3"/>
    <n v="8"/>
    <n v="65867.23"/>
    <s v="Priya Mathur"/>
    <n v="42"/>
    <x v="1"/>
    <s v="UPI"/>
    <n v="5"/>
    <s v="Galaxy Note 20"/>
  </r>
  <r>
    <n v="1637"/>
    <n v="17"/>
    <n v="1"/>
    <n v="2023"/>
    <s v="Tuesday"/>
    <x v="0"/>
    <n v="6"/>
    <n v="67661.259999999995"/>
    <s v="Prashant Shah"/>
    <n v="59"/>
    <x v="5"/>
    <s v="Cash"/>
    <n v="5"/>
    <s v="Mi 11"/>
  </r>
  <r>
    <n v="1638"/>
    <n v="17"/>
    <n v="1"/>
    <n v="2023"/>
    <s v="Tuesday"/>
    <x v="2"/>
    <n v="5"/>
    <n v="10784.59"/>
    <s v="Sachin Singh"/>
    <n v="46"/>
    <x v="14"/>
    <s v="Cash"/>
    <n v="4"/>
    <s v="OnePlus 9"/>
  </r>
  <r>
    <n v="1639"/>
    <n v="18"/>
    <n v="1"/>
    <n v="2023"/>
    <s v="Wednesday"/>
    <x v="2"/>
    <n v="9"/>
    <n v="20302.05"/>
    <s v="Neeta Yadav"/>
    <n v="42"/>
    <x v="2"/>
    <s v="Cash"/>
    <n v="3"/>
    <s v="OnePlus Nord"/>
  </r>
  <r>
    <n v="1640"/>
    <n v="18"/>
    <n v="1"/>
    <n v="2023"/>
    <s v="Wednesday"/>
    <x v="4"/>
    <n v="7"/>
    <n v="49225.87"/>
    <s v="Pankaj Alva"/>
    <n v="26"/>
    <x v="2"/>
    <s v="Credit Card"/>
    <n v="1"/>
    <s v="iPhone 11"/>
  </r>
  <r>
    <n v="1641"/>
    <n v="18"/>
    <n v="1"/>
    <n v="2023"/>
    <s v="Wednesday"/>
    <x v="2"/>
    <n v="8"/>
    <n v="11528.36"/>
    <s v="Ayesha Siddiqui"/>
    <n v="20"/>
    <x v="13"/>
    <s v="Cash"/>
    <n v="4"/>
    <s v="OnePlus 9"/>
  </r>
  <r>
    <n v="1642"/>
    <n v="18"/>
    <n v="1"/>
    <n v="2023"/>
    <s v="Wednesday"/>
    <x v="1"/>
    <n v="1"/>
    <n v="13816.54"/>
    <s v="Rohan Menon"/>
    <n v="32"/>
    <x v="1"/>
    <s v="UPI"/>
    <n v="3"/>
    <s v="Vivo Y51"/>
  </r>
  <r>
    <n v="1643"/>
    <n v="19"/>
    <n v="1"/>
    <n v="2023"/>
    <s v="Thursday"/>
    <x v="3"/>
    <n v="2"/>
    <n v="23264.73"/>
    <s v="Ayesha Kaur"/>
    <n v="21"/>
    <x v="17"/>
    <s v="Credit Card"/>
    <n v="5"/>
    <s v="Galaxy A51"/>
  </r>
  <r>
    <n v="1644"/>
    <n v="19"/>
    <n v="1"/>
    <n v="2023"/>
    <s v="Thursday"/>
    <x v="4"/>
    <n v="8"/>
    <n v="40746.39"/>
    <s v="Ravi Bhattacharya"/>
    <n v="55"/>
    <x v="0"/>
    <s v="Cash"/>
    <n v="3"/>
    <s v="iPhone 11"/>
  </r>
  <r>
    <n v="1645"/>
    <n v="19"/>
    <n v="1"/>
    <n v="2023"/>
    <s v="Thursday"/>
    <x v="1"/>
    <n v="9"/>
    <n v="42754.15"/>
    <s v="Radha Nair"/>
    <n v="37"/>
    <x v="13"/>
    <s v="Cash"/>
    <n v="5"/>
    <s v="Vivo S1"/>
  </r>
  <r>
    <n v="1646"/>
    <n v="20"/>
    <n v="1"/>
    <n v="2023"/>
    <s v="Friday"/>
    <x v="0"/>
    <n v="4"/>
    <n v="12055.67"/>
    <s v="Harish Mishra"/>
    <n v="40"/>
    <x v="1"/>
    <s v="Cash"/>
    <n v="5"/>
    <s v="Redmi 9"/>
  </r>
  <r>
    <n v="1647"/>
    <n v="20"/>
    <n v="1"/>
    <n v="2023"/>
    <s v="Friday"/>
    <x v="3"/>
    <n v="9"/>
    <n v="20222.04"/>
    <s v="Anita Srivastava"/>
    <n v="54"/>
    <x v="4"/>
    <s v="UPI"/>
    <n v="5"/>
    <s v="Galaxy S21"/>
  </r>
  <r>
    <n v="1648"/>
    <n v="20"/>
    <n v="1"/>
    <n v="2023"/>
    <s v="Friday"/>
    <x v="2"/>
    <n v="4"/>
    <n v="39982.339999999997"/>
    <s v="Amit Ahuja"/>
    <n v="25"/>
    <x v="2"/>
    <s v="Cash"/>
    <n v="1"/>
    <s v="OnePlus 8T"/>
  </r>
  <r>
    <n v="1649"/>
    <n v="21"/>
    <n v="1"/>
    <n v="2023"/>
    <s v="Saturday"/>
    <x v="3"/>
    <n v="9"/>
    <n v="45636.44"/>
    <s v="Radha Varma"/>
    <n v="54"/>
    <x v="8"/>
    <s v="UPI"/>
    <n v="1"/>
    <s v="Galaxy Note 20"/>
  </r>
  <r>
    <n v="1650"/>
    <n v="21"/>
    <n v="1"/>
    <n v="2023"/>
    <s v="Saturday"/>
    <x v="0"/>
    <n v="7"/>
    <n v="18904.099999999999"/>
    <s v="Manoj Shah"/>
    <n v="50"/>
    <x v="18"/>
    <s v="Credit Card"/>
    <n v="4"/>
    <s v="Redmi 9"/>
  </r>
  <r>
    <n v="1651"/>
    <n v="21"/>
    <n v="1"/>
    <n v="2023"/>
    <s v="Saturday"/>
    <x v="4"/>
    <n v="2"/>
    <n v="33930.480000000003"/>
    <s v="Lata Rathod"/>
    <n v="50"/>
    <x v="18"/>
    <s v="Cash"/>
    <n v="3"/>
    <s v="iPhone 11"/>
  </r>
  <r>
    <n v="1652"/>
    <n v="21"/>
    <n v="1"/>
    <n v="2023"/>
    <s v="Saturday"/>
    <x v="4"/>
    <n v="9"/>
    <n v="64264.09"/>
    <s v="Isha Reddy"/>
    <n v="24"/>
    <x v="17"/>
    <s v="Debit Card"/>
    <n v="4"/>
    <s v="iPhone SE"/>
  </r>
  <r>
    <n v="1653"/>
    <n v="22"/>
    <n v="1"/>
    <n v="2023"/>
    <s v="Sunday"/>
    <x v="4"/>
    <n v="4"/>
    <n v="69933.960000000006"/>
    <s v="Kavita Rawat"/>
    <n v="39"/>
    <x v="8"/>
    <s v="Debit Card"/>
    <n v="1"/>
    <s v="iPhone 12"/>
  </r>
  <r>
    <n v="1654"/>
    <n v="22"/>
    <n v="1"/>
    <n v="2023"/>
    <s v="Sunday"/>
    <x v="2"/>
    <n v="8"/>
    <n v="69232.87"/>
    <s v="Meena Mathur"/>
    <n v="22"/>
    <x v="13"/>
    <s v="UPI"/>
    <n v="5"/>
    <s v="OnePlus 8T"/>
  </r>
  <r>
    <n v="1655"/>
    <n v="22"/>
    <n v="1"/>
    <n v="2023"/>
    <s v="Sunday"/>
    <x v="1"/>
    <n v="7"/>
    <n v="62900.47"/>
    <s v="Bhavana Malhotra"/>
    <n v="32"/>
    <x v="2"/>
    <s v="Cash"/>
    <n v="1"/>
    <s v="Vivo S1"/>
  </r>
  <r>
    <n v="1656"/>
    <n v="23"/>
    <n v="1"/>
    <n v="2023"/>
    <s v="Monday"/>
    <x v="1"/>
    <n v="7"/>
    <n v="33679.61"/>
    <s v="Anita Pillai"/>
    <n v="38"/>
    <x v="2"/>
    <s v="Cash"/>
    <n v="3"/>
    <s v="Vivo Y51"/>
  </r>
  <r>
    <n v="1657"/>
    <n v="23"/>
    <n v="1"/>
    <n v="2023"/>
    <s v="Monday"/>
    <x v="3"/>
    <n v="8"/>
    <n v="51194.46"/>
    <s v="Prashant Gupta"/>
    <n v="42"/>
    <x v="6"/>
    <s v="Debit Card"/>
    <n v="5"/>
    <s v="Galaxy Note 20"/>
  </r>
  <r>
    <n v="1658"/>
    <n v="23"/>
    <n v="1"/>
    <n v="2023"/>
    <s v="Monday"/>
    <x v="2"/>
    <n v="1"/>
    <n v="34995.53"/>
    <s v="Vinod Goyal"/>
    <n v="34"/>
    <x v="1"/>
    <s v="Credit Card"/>
    <n v="4"/>
    <s v="OnePlus 9"/>
  </r>
  <r>
    <n v="1659"/>
    <n v="23"/>
    <n v="1"/>
    <n v="2023"/>
    <s v="Monday"/>
    <x v="4"/>
    <n v="5"/>
    <n v="48911.62"/>
    <s v="Sumit Malhotra"/>
    <n v="24"/>
    <x v="7"/>
    <s v="Credit Card"/>
    <n v="4"/>
    <s v="iPhone SE"/>
  </r>
  <r>
    <n v="1660"/>
    <n v="24"/>
    <n v="1"/>
    <n v="2023"/>
    <s v="Tuesday"/>
    <x v="4"/>
    <n v="2"/>
    <n v="28565.95"/>
    <s v="Sachin Goyal"/>
    <n v="36"/>
    <x v="2"/>
    <s v="UPI"/>
    <n v="1"/>
    <s v="iPhone 12"/>
  </r>
  <r>
    <n v="1661"/>
    <n v="24"/>
    <n v="1"/>
    <n v="2023"/>
    <s v="Tuesday"/>
    <x v="0"/>
    <n v="2"/>
    <n v="46372.14"/>
    <s v="Rohan Menon"/>
    <n v="24"/>
    <x v="17"/>
    <s v="Debit Card"/>
    <n v="1"/>
    <s v="Redmi Note 10"/>
  </r>
  <r>
    <n v="1662"/>
    <n v="24"/>
    <n v="1"/>
    <n v="2023"/>
    <s v="Tuesday"/>
    <x v="0"/>
    <n v="1"/>
    <n v="41425.51"/>
    <s v="Ravi Jain"/>
    <n v="57"/>
    <x v="1"/>
    <s v="UPI"/>
    <n v="4"/>
    <s v="Redmi Note 10"/>
  </r>
  <r>
    <n v="1663"/>
    <n v="25"/>
    <n v="1"/>
    <n v="2023"/>
    <s v="Wednesday"/>
    <x v="4"/>
    <n v="5"/>
    <n v="11468.82"/>
    <s v="Neeta Ghosh"/>
    <n v="41"/>
    <x v="5"/>
    <s v="UPI"/>
    <n v="4"/>
    <s v="iPhone SE"/>
  </r>
  <r>
    <n v="1664"/>
    <n v="25"/>
    <n v="1"/>
    <n v="2023"/>
    <s v="Wednesday"/>
    <x v="4"/>
    <n v="2"/>
    <n v="57442.17"/>
    <s v="Amit Prasad"/>
    <n v="28"/>
    <x v="1"/>
    <s v="Credit Card"/>
    <n v="5"/>
    <s v="iPhone SE"/>
  </r>
  <r>
    <n v="1665"/>
    <n v="25"/>
    <n v="1"/>
    <n v="2023"/>
    <s v="Wednesday"/>
    <x v="2"/>
    <n v="4"/>
    <n v="10713.87"/>
    <s v="Harish Joshi"/>
    <n v="58"/>
    <x v="3"/>
    <s v="Debit Card"/>
    <n v="3"/>
    <s v="OnePlus 8T"/>
  </r>
  <r>
    <n v="1666"/>
    <n v="25"/>
    <n v="1"/>
    <n v="2023"/>
    <s v="Wednesday"/>
    <x v="1"/>
    <n v="3"/>
    <n v="27589.360000000001"/>
    <s v="Vinod Dutta"/>
    <n v="18"/>
    <x v="1"/>
    <s v="UPI"/>
    <n v="5"/>
    <s v="Vivo S1"/>
  </r>
  <r>
    <n v="1667"/>
    <n v="26"/>
    <n v="1"/>
    <n v="2023"/>
    <s v="Thursday"/>
    <x v="0"/>
    <n v="3"/>
    <n v="10355.44"/>
    <s v="Manoj Jain"/>
    <n v="49"/>
    <x v="13"/>
    <s v="Credit Card"/>
    <n v="5"/>
    <s v="Redmi Note 10"/>
  </r>
  <r>
    <n v="1668"/>
    <n v="26"/>
    <n v="1"/>
    <n v="2023"/>
    <s v="Thursday"/>
    <x v="1"/>
    <n v="2"/>
    <n v="32572.080000000002"/>
    <s v="Rohan Shah"/>
    <n v="57"/>
    <x v="3"/>
    <s v="Credit Card"/>
    <n v="4"/>
    <s v="Vivo S1"/>
  </r>
  <r>
    <n v="1669"/>
    <n v="26"/>
    <n v="1"/>
    <n v="2023"/>
    <s v="Thursday"/>
    <x v="2"/>
    <n v="6"/>
    <n v="13789.63"/>
    <s v="Vinod Chatterjee"/>
    <n v="19"/>
    <x v="1"/>
    <s v="Cash"/>
    <n v="3"/>
    <s v="OnePlus 8T"/>
  </r>
  <r>
    <n v="1670"/>
    <n v="27"/>
    <n v="1"/>
    <n v="2023"/>
    <s v="Friday"/>
    <x v="4"/>
    <n v="2"/>
    <n v="64810.66"/>
    <s v="Monika Thakur"/>
    <n v="32"/>
    <x v="1"/>
    <s v="Debit Card"/>
    <n v="4"/>
    <s v="iPhone 12"/>
  </r>
  <r>
    <n v="1671"/>
    <n v="27"/>
    <n v="1"/>
    <n v="2023"/>
    <s v="Friday"/>
    <x v="1"/>
    <n v="8"/>
    <n v="34940.76"/>
    <s v="Anita Joshi"/>
    <n v="38"/>
    <x v="15"/>
    <s v="Debit Card"/>
    <n v="5"/>
    <s v="Vivo Y51"/>
  </r>
  <r>
    <n v="1672"/>
    <n v="27"/>
    <n v="1"/>
    <n v="2023"/>
    <s v="Friday"/>
    <x v="4"/>
    <n v="8"/>
    <n v="37569.75"/>
    <s v="Navin Solanki"/>
    <n v="41"/>
    <x v="16"/>
    <s v="Cash"/>
    <n v="5"/>
    <s v="iPhone SE"/>
  </r>
  <r>
    <n v="1673"/>
    <n v="27"/>
    <n v="1"/>
    <n v="2023"/>
    <s v="Friday"/>
    <x v="4"/>
    <n v="5"/>
    <n v="30991.01"/>
    <s v="Arun Mehta"/>
    <n v="34"/>
    <x v="1"/>
    <s v="UPI"/>
    <n v="4"/>
    <s v="iPhone 11"/>
  </r>
  <r>
    <n v="1674"/>
    <n v="28"/>
    <n v="1"/>
    <n v="2023"/>
    <s v="Saturday"/>
    <x v="3"/>
    <n v="7"/>
    <n v="47650.37"/>
    <s v="Krishna Pillai"/>
    <n v="26"/>
    <x v="5"/>
    <s v="Credit Card"/>
    <n v="1"/>
    <s v="Galaxy Note 20"/>
  </r>
  <r>
    <n v="1675"/>
    <n v="28"/>
    <n v="1"/>
    <n v="2023"/>
    <s v="Saturday"/>
    <x v="1"/>
    <n v="4"/>
    <n v="57064.49"/>
    <s v="Rajesh Ahuja"/>
    <n v="52"/>
    <x v="1"/>
    <s v="Credit Card"/>
    <n v="1"/>
    <s v="Vivo S1"/>
  </r>
  <r>
    <n v="1676"/>
    <n v="28"/>
    <n v="1"/>
    <n v="2023"/>
    <s v="Saturday"/>
    <x v="1"/>
    <n v="1"/>
    <n v="48888.800000000003"/>
    <s v="Sneha Reddy"/>
    <n v="37"/>
    <x v="16"/>
    <s v="Credit Card"/>
    <n v="4"/>
    <s v="Vivo Y51"/>
  </r>
  <r>
    <n v="1677"/>
    <n v="29"/>
    <n v="1"/>
    <n v="2023"/>
    <s v="Sunday"/>
    <x v="4"/>
    <n v="2"/>
    <n v="54892.43"/>
    <s v="Pooja Sharma"/>
    <n v="36"/>
    <x v="3"/>
    <s v="Cash"/>
    <n v="5"/>
    <s v="iPhone SE"/>
  </r>
  <r>
    <n v="1678"/>
    <n v="29"/>
    <n v="1"/>
    <n v="2023"/>
    <s v="Sunday"/>
    <x v="2"/>
    <n v="4"/>
    <n v="64358.42"/>
    <s v="Priya Patel"/>
    <n v="35"/>
    <x v="2"/>
    <s v="Credit Card"/>
    <n v="5"/>
    <s v="OnePlus 9"/>
  </r>
  <r>
    <n v="1679"/>
    <n v="29"/>
    <n v="1"/>
    <n v="2023"/>
    <s v="Sunday"/>
    <x v="3"/>
    <n v="1"/>
    <n v="61812.79"/>
    <s v="Mala Das"/>
    <n v="37"/>
    <x v="1"/>
    <s v="UPI"/>
    <n v="1"/>
    <s v="Galaxy Note 20"/>
  </r>
  <r>
    <n v="1680"/>
    <n v="29"/>
    <n v="1"/>
    <n v="2023"/>
    <s v="Sunday"/>
    <x v="4"/>
    <n v="8"/>
    <n v="50443.51"/>
    <s v="Shruti Joshi"/>
    <n v="47"/>
    <x v="16"/>
    <s v="UPI"/>
    <n v="3"/>
    <s v="iPhone 12"/>
  </r>
  <r>
    <n v="1681"/>
    <n v="30"/>
    <n v="1"/>
    <n v="2023"/>
    <s v="Monday"/>
    <x v="0"/>
    <n v="9"/>
    <n v="22878.28"/>
    <s v="Anita Joshi"/>
    <n v="57"/>
    <x v="2"/>
    <s v="Cash"/>
    <n v="5"/>
    <s v="Redmi 9"/>
  </r>
  <r>
    <n v="1682"/>
    <n v="30"/>
    <n v="1"/>
    <n v="2023"/>
    <s v="Monday"/>
    <x v="0"/>
    <n v="4"/>
    <n v="48262.17"/>
    <s v="Vijay Prasad"/>
    <n v="18"/>
    <x v="1"/>
    <s v="UPI"/>
    <n v="3"/>
    <s v="Redmi 9"/>
  </r>
  <r>
    <n v="1683"/>
    <n v="30"/>
    <n v="1"/>
    <n v="2023"/>
    <s v="Monday"/>
    <x v="3"/>
    <n v="3"/>
    <n v="40364.99"/>
    <s v="Sanjay Srivastava"/>
    <n v="41"/>
    <x v="2"/>
    <s v="Debit Card"/>
    <n v="1"/>
    <s v="Galaxy Note 20"/>
  </r>
  <r>
    <n v="1684"/>
    <n v="31"/>
    <n v="1"/>
    <n v="2023"/>
    <s v="Tuesday"/>
    <x v="2"/>
    <n v="2"/>
    <n v="53033.15"/>
    <s v="Neeta Yadav"/>
    <n v="41"/>
    <x v="4"/>
    <s v="Debit Card"/>
    <n v="4"/>
    <s v="OnePlus 8T"/>
  </r>
  <r>
    <n v="1685"/>
    <n v="31"/>
    <n v="1"/>
    <n v="2023"/>
    <s v="Tuesday"/>
    <x v="4"/>
    <n v="5"/>
    <n v="59975.9"/>
    <s v="Namita Malhotra"/>
    <n v="36"/>
    <x v="9"/>
    <s v="Credit Card"/>
    <n v="5"/>
    <s v="iPhone SE"/>
  </r>
  <r>
    <n v="1686"/>
    <n v="31"/>
    <n v="1"/>
    <n v="2023"/>
    <s v="Tuesday"/>
    <x v="1"/>
    <n v="3"/>
    <n v="54563.29"/>
    <s v="Sachin Singh"/>
    <n v="47"/>
    <x v="1"/>
    <s v="Credit Card"/>
    <n v="1"/>
    <s v="Vivo S1"/>
  </r>
  <r>
    <n v="1687"/>
    <n v="31"/>
    <n v="1"/>
    <n v="2023"/>
    <s v="Tuesday"/>
    <x v="3"/>
    <n v="7"/>
    <n v="60793.67"/>
    <s v="Lata Iyer"/>
    <n v="43"/>
    <x v="1"/>
    <s v="Debit Card"/>
    <n v="3"/>
    <s v="Galaxy S21"/>
  </r>
  <r>
    <n v="1688"/>
    <n v="1"/>
    <n v="2"/>
    <n v="2023"/>
    <s v="Wednesday"/>
    <x v="2"/>
    <n v="6"/>
    <n v="13831.98"/>
    <s v="Prashant Mathur"/>
    <n v="59"/>
    <x v="18"/>
    <s v="UPI"/>
    <n v="3"/>
    <s v="OnePlus 9"/>
  </r>
  <r>
    <n v="1689"/>
    <n v="1"/>
    <n v="2"/>
    <n v="2023"/>
    <s v="Wednesday"/>
    <x v="1"/>
    <n v="1"/>
    <n v="11897.2"/>
    <s v="Jyoti Srivastava"/>
    <n v="55"/>
    <x v="8"/>
    <s v="Cash"/>
    <n v="1"/>
    <s v="Vivo Y51"/>
  </r>
  <r>
    <n v="1690"/>
    <n v="1"/>
    <n v="2"/>
    <n v="2023"/>
    <s v="Wednesday"/>
    <x v="0"/>
    <n v="8"/>
    <n v="25510.03"/>
    <s v="Ramesh Gupta"/>
    <n v="46"/>
    <x v="8"/>
    <s v="Credit Card"/>
    <n v="5"/>
    <s v="Mi 11"/>
  </r>
  <r>
    <n v="1691"/>
    <n v="1"/>
    <n v="2"/>
    <n v="2023"/>
    <s v="Wednesday"/>
    <x v="0"/>
    <n v="2"/>
    <n v="64039.97"/>
    <s v="Pankaj Prasad"/>
    <n v="30"/>
    <x v="1"/>
    <s v="Credit Card"/>
    <n v="3"/>
    <s v="Mi 11"/>
  </r>
  <r>
    <n v="1692"/>
    <n v="2"/>
    <n v="2"/>
    <n v="2023"/>
    <s v="Thursday"/>
    <x v="1"/>
    <n v="5"/>
    <n v="59419.56"/>
    <s v="Prashant Gupta"/>
    <n v="21"/>
    <x v="15"/>
    <s v="Debit Card"/>
    <n v="5"/>
    <s v="Vivo Y51"/>
  </r>
  <r>
    <n v="1693"/>
    <n v="2"/>
    <n v="2"/>
    <n v="2023"/>
    <s v="Thursday"/>
    <x v="3"/>
    <n v="9"/>
    <n v="50963.64"/>
    <s v="Namita Mehta"/>
    <n v="34"/>
    <x v="15"/>
    <s v="Debit Card"/>
    <n v="5"/>
    <s v="Galaxy Note 20"/>
  </r>
  <r>
    <n v="1694"/>
    <n v="2"/>
    <n v="2"/>
    <n v="2023"/>
    <s v="Thursday"/>
    <x v="0"/>
    <n v="8"/>
    <n v="52045.52"/>
    <s v="Bina Kumar"/>
    <n v="50"/>
    <x v="4"/>
    <s v="Cash"/>
    <n v="4"/>
    <s v="Mi 11"/>
  </r>
  <r>
    <n v="1695"/>
    <n v="2"/>
    <n v="2"/>
    <n v="2023"/>
    <s v="Thursday"/>
    <x v="4"/>
    <n v="2"/>
    <n v="53600.23"/>
    <s v="Shruti Chaudhary"/>
    <n v="22"/>
    <x v="8"/>
    <s v="Credit Card"/>
    <n v="1"/>
    <s v="iPhone 11"/>
  </r>
  <r>
    <n v="1696"/>
    <n v="3"/>
    <n v="2"/>
    <n v="2023"/>
    <s v="Friday"/>
    <x v="1"/>
    <n v="9"/>
    <n v="66556.160000000003"/>
    <s v="Krishna Bhattacharya"/>
    <n v="45"/>
    <x v="4"/>
    <s v="UPI"/>
    <n v="1"/>
    <s v="Vivo Y51"/>
  </r>
  <r>
    <n v="1697"/>
    <n v="3"/>
    <n v="2"/>
    <n v="2023"/>
    <s v="Friday"/>
    <x v="1"/>
    <n v="5"/>
    <n v="59931.47"/>
    <s v="Bina Kumar"/>
    <n v="41"/>
    <x v="8"/>
    <s v="UPI"/>
    <n v="5"/>
    <s v="Vivo V20"/>
  </r>
  <r>
    <n v="1698"/>
    <n v="3"/>
    <n v="2"/>
    <n v="2023"/>
    <s v="Friday"/>
    <x v="0"/>
    <n v="6"/>
    <n v="47403.42"/>
    <s v="Kavita Solanki"/>
    <n v="34"/>
    <x v="12"/>
    <s v="Debit Card"/>
    <n v="4"/>
    <s v="Redmi 9"/>
  </r>
  <r>
    <n v="1699"/>
    <n v="4"/>
    <n v="2"/>
    <n v="2023"/>
    <s v="Saturday"/>
    <x v="3"/>
    <n v="3"/>
    <n v="49942.93"/>
    <s v="Anita Luthra"/>
    <n v="56"/>
    <x v="14"/>
    <s v="Cash"/>
    <n v="3"/>
    <s v="Galaxy A51"/>
  </r>
  <r>
    <n v="1700"/>
    <n v="4"/>
    <n v="2"/>
    <n v="2023"/>
    <s v="Saturday"/>
    <x v="4"/>
    <n v="3"/>
    <n v="22824.42"/>
    <s v="Navin Chaudhary"/>
    <n v="57"/>
    <x v="1"/>
    <s v="Debit Card"/>
    <n v="3"/>
    <s v="iPhone 11"/>
  </r>
  <r>
    <n v="1701"/>
    <n v="4"/>
    <n v="2"/>
    <n v="2023"/>
    <s v="Saturday"/>
    <x v="3"/>
    <n v="8"/>
    <n v="49439.13"/>
    <s v="Prashant Luthra"/>
    <n v="28"/>
    <x v="8"/>
    <s v="Cash"/>
    <n v="1"/>
    <s v="Galaxy A51"/>
  </r>
  <r>
    <n v="1702"/>
    <n v="4"/>
    <n v="2"/>
    <n v="2023"/>
    <s v="Saturday"/>
    <x v="2"/>
    <n v="2"/>
    <n v="35480.74"/>
    <s v="Krishna Iyer"/>
    <n v="29"/>
    <x v="10"/>
    <s v="UPI"/>
    <n v="5"/>
    <s v="OnePlus 8T"/>
  </r>
  <r>
    <n v="1703"/>
    <n v="5"/>
    <n v="2"/>
    <n v="2023"/>
    <s v="Sunday"/>
    <x v="2"/>
    <n v="2"/>
    <n v="19177.71"/>
    <s v="Pankaj Mishra"/>
    <n v="30"/>
    <x v="1"/>
    <s v="Cash"/>
    <n v="4"/>
    <s v="OnePlus 9"/>
  </r>
  <r>
    <n v="1704"/>
    <n v="5"/>
    <n v="2"/>
    <n v="2023"/>
    <s v="Sunday"/>
    <x v="0"/>
    <n v="5"/>
    <n v="58384.17"/>
    <s v="Prashant Roy"/>
    <n v="25"/>
    <x v="14"/>
    <s v="UPI"/>
    <n v="4"/>
    <s v="Mi 11"/>
  </r>
  <r>
    <n v="1705"/>
    <n v="5"/>
    <n v="2"/>
    <n v="2023"/>
    <s v="Sunday"/>
    <x v="0"/>
    <n v="6"/>
    <n v="40614.83"/>
    <s v="Sumit Rathod"/>
    <n v="18"/>
    <x v="8"/>
    <s v="Cash"/>
    <n v="3"/>
    <s v="Redmi Note 10"/>
  </r>
  <r>
    <n v="1706"/>
    <n v="6"/>
    <n v="2"/>
    <n v="2023"/>
    <s v="Monday"/>
    <x v="0"/>
    <n v="2"/>
    <n v="68645.5"/>
    <s v="Manoj Goyal"/>
    <n v="26"/>
    <x v="1"/>
    <s v="Debit Card"/>
    <n v="3"/>
    <s v="Redmi Note 10"/>
  </r>
  <r>
    <n v="1707"/>
    <n v="6"/>
    <n v="2"/>
    <n v="2023"/>
    <s v="Monday"/>
    <x v="2"/>
    <n v="5"/>
    <n v="26900.76"/>
    <s v="Arun Desai"/>
    <n v="45"/>
    <x v="2"/>
    <s v="UPI"/>
    <n v="5"/>
    <s v="OnePlus 9"/>
  </r>
  <r>
    <n v="1708"/>
    <n v="6"/>
    <n v="2"/>
    <n v="2023"/>
    <s v="Monday"/>
    <x v="3"/>
    <n v="7"/>
    <n v="38840.21"/>
    <s v="Lata Verma"/>
    <n v="19"/>
    <x v="15"/>
    <s v="Credit Card"/>
    <n v="5"/>
    <s v="Galaxy Note 20"/>
  </r>
  <r>
    <n v="1709"/>
    <n v="6"/>
    <n v="2"/>
    <n v="2023"/>
    <s v="Monday"/>
    <x v="3"/>
    <n v="8"/>
    <n v="36879.730000000003"/>
    <s v="Neeta Ghosh"/>
    <n v="31"/>
    <x v="1"/>
    <s v="Credit Card"/>
    <n v="5"/>
    <s v="Galaxy S21"/>
  </r>
  <r>
    <n v="1710"/>
    <n v="7"/>
    <n v="2"/>
    <n v="2023"/>
    <s v="Tuesday"/>
    <x v="0"/>
    <n v="7"/>
    <n v="17246.77"/>
    <s v="Priya Varma"/>
    <n v="30"/>
    <x v="8"/>
    <s v="UPI"/>
    <n v="5"/>
    <s v="Mi 11"/>
  </r>
  <r>
    <n v="1711"/>
    <n v="7"/>
    <n v="2"/>
    <n v="2023"/>
    <s v="Tuesday"/>
    <x v="4"/>
    <n v="8"/>
    <n v="35566.92"/>
    <s v="Tapan Nair"/>
    <n v="19"/>
    <x v="2"/>
    <s v="Credit Card"/>
    <n v="4"/>
    <s v="iPhone 12"/>
  </r>
  <r>
    <n v="1712"/>
    <n v="7"/>
    <n v="2"/>
    <n v="2023"/>
    <s v="Tuesday"/>
    <x v="3"/>
    <n v="9"/>
    <n v="27253.21"/>
    <s v="Manoj Patel"/>
    <n v="21"/>
    <x v="9"/>
    <s v="UPI"/>
    <n v="5"/>
    <s v="Galaxy S21"/>
  </r>
  <r>
    <n v="1713"/>
    <n v="8"/>
    <n v="2"/>
    <n v="2023"/>
    <s v="Wednesday"/>
    <x v="2"/>
    <n v="5"/>
    <n v="19619.23"/>
    <s v="Bhavana Ghosh"/>
    <n v="29"/>
    <x v="0"/>
    <s v="Debit Card"/>
    <n v="1"/>
    <s v="OnePlus Nord"/>
  </r>
  <r>
    <n v="1714"/>
    <n v="8"/>
    <n v="2"/>
    <n v="2023"/>
    <s v="Wednesday"/>
    <x v="1"/>
    <n v="5"/>
    <n v="26929.34"/>
    <s v="Priya Teja"/>
    <n v="27"/>
    <x v="8"/>
    <s v="Debit Card"/>
    <n v="1"/>
    <s v="Vivo Y51"/>
  </r>
  <r>
    <n v="1715"/>
    <n v="8"/>
    <n v="2"/>
    <n v="2023"/>
    <s v="Wednesday"/>
    <x v="1"/>
    <n v="4"/>
    <n v="23995.1"/>
    <s v="Tanuja Teja"/>
    <n v="20"/>
    <x v="1"/>
    <s v="Cash"/>
    <n v="3"/>
    <s v="Vivo S1"/>
  </r>
  <r>
    <n v="1716"/>
    <n v="8"/>
    <n v="2"/>
    <n v="2023"/>
    <s v="Wednesday"/>
    <x v="1"/>
    <n v="9"/>
    <n v="54044.41"/>
    <s v="Kavita Solanki"/>
    <n v="21"/>
    <x v="8"/>
    <s v="Credit Card"/>
    <n v="3"/>
    <s v="Vivo V20"/>
  </r>
  <r>
    <n v="1717"/>
    <n v="9"/>
    <n v="2"/>
    <n v="2023"/>
    <s v="Thursday"/>
    <x v="4"/>
    <n v="5"/>
    <n v="11846.51"/>
    <s v="Sneha Mishra"/>
    <n v="23"/>
    <x v="6"/>
    <s v="Credit Card"/>
    <n v="5"/>
    <s v="iPhone SE"/>
  </r>
  <r>
    <n v="1718"/>
    <n v="9"/>
    <n v="2"/>
    <n v="2023"/>
    <s v="Thursday"/>
    <x v="0"/>
    <n v="2"/>
    <n v="47047.76"/>
    <s v="Sunil Iyer"/>
    <n v="40"/>
    <x v="1"/>
    <s v="Credit Card"/>
    <n v="1"/>
    <s v="Redmi Note 10"/>
  </r>
  <r>
    <n v="1719"/>
    <n v="9"/>
    <n v="2"/>
    <n v="2023"/>
    <s v="Thursday"/>
    <x v="2"/>
    <n v="8"/>
    <n v="55639.68"/>
    <s v="Vijay Varma"/>
    <n v="22"/>
    <x v="17"/>
    <s v="UPI"/>
    <n v="5"/>
    <s v="OnePlus Nord"/>
  </r>
  <r>
    <n v="1720"/>
    <n v="10"/>
    <n v="2"/>
    <n v="2023"/>
    <s v="Friday"/>
    <x v="4"/>
    <n v="7"/>
    <n v="38843.410000000003"/>
    <s v="Prashant Ghosh"/>
    <n v="20"/>
    <x v="15"/>
    <s v="Debit Card"/>
    <n v="5"/>
    <s v="iPhone SE"/>
  </r>
  <r>
    <n v="1721"/>
    <n v="10"/>
    <n v="2"/>
    <n v="2023"/>
    <s v="Friday"/>
    <x v="2"/>
    <n v="8"/>
    <n v="65893.899999999994"/>
    <s v="Aditya Arora"/>
    <n v="27"/>
    <x v="6"/>
    <s v="Credit Card"/>
    <n v="5"/>
    <s v="OnePlus 8T"/>
  </r>
  <r>
    <n v="1722"/>
    <n v="10"/>
    <n v="2"/>
    <n v="2023"/>
    <s v="Friday"/>
    <x v="2"/>
    <n v="3"/>
    <n v="52472.84"/>
    <s v="Bhavana Malhotra"/>
    <n v="36"/>
    <x v="8"/>
    <s v="Cash"/>
    <n v="3"/>
    <s v="OnePlus 8T"/>
  </r>
  <r>
    <n v="1723"/>
    <n v="11"/>
    <n v="2"/>
    <n v="2023"/>
    <s v="Saturday"/>
    <x v="0"/>
    <n v="4"/>
    <n v="54875.42"/>
    <s v="Namita Desai"/>
    <n v="31"/>
    <x v="17"/>
    <s v="Credit Card"/>
    <n v="5"/>
    <s v="Redmi 9"/>
  </r>
  <r>
    <n v="1724"/>
    <n v="11"/>
    <n v="2"/>
    <n v="2023"/>
    <s v="Saturday"/>
    <x v="1"/>
    <n v="5"/>
    <n v="21816.01"/>
    <s v="Arun Kumar"/>
    <n v="38"/>
    <x v="8"/>
    <s v="Cash"/>
    <n v="5"/>
    <s v="Vivo S1"/>
  </r>
  <r>
    <n v="1725"/>
    <n v="11"/>
    <n v="2"/>
    <n v="2023"/>
    <s v="Saturday"/>
    <x v="0"/>
    <n v="6"/>
    <n v="56637.73"/>
    <s v="Bhavana Jain"/>
    <n v="45"/>
    <x v="2"/>
    <s v="Credit Card"/>
    <n v="3"/>
    <s v="Mi 11"/>
  </r>
  <r>
    <n v="1726"/>
    <n v="11"/>
    <n v="2"/>
    <n v="2023"/>
    <s v="Saturday"/>
    <x v="4"/>
    <n v="1"/>
    <n v="59925.68"/>
    <s v="Shruti Ahuja"/>
    <n v="38"/>
    <x v="6"/>
    <s v="Credit Card"/>
    <n v="3"/>
    <s v="iPhone 12"/>
  </r>
  <r>
    <n v="1727"/>
    <n v="12"/>
    <n v="2"/>
    <n v="2023"/>
    <s v="Sunday"/>
    <x v="4"/>
    <n v="4"/>
    <n v="31675.98"/>
    <s v="Mala Malhotra"/>
    <n v="53"/>
    <x v="1"/>
    <s v="Debit Card"/>
    <n v="1"/>
    <s v="iPhone 12"/>
  </r>
  <r>
    <n v="1728"/>
    <n v="12"/>
    <n v="2"/>
    <n v="2023"/>
    <s v="Sunday"/>
    <x v="4"/>
    <n v="5"/>
    <n v="22801.78"/>
    <s v="Priya Roy"/>
    <n v="41"/>
    <x v="2"/>
    <s v="Cash"/>
    <n v="3"/>
    <s v="iPhone 12"/>
  </r>
  <r>
    <n v="1729"/>
    <n v="12"/>
    <n v="2"/>
    <n v="2023"/>
    <s v="Sunday"/>
    <x v="0"/>
    <n v="7"/>
    <n v="33103.040000000001"/>
    <s v="Priyanka Sharma"/>
    <n v="55"/>
    <x v="8"/>
    <s v="Credit Card"/>
    <n v="5"/>
    <s v="Redmi Note 10"/>
  </r>
  <r>
    <n v="1730"/>
    <n v="13"/>
    <n v="2"/>
    <n v="2023"/>
    <s v="Monday"/>
    <x v="2"/>
    <n v="5"/>
    <n v="54376.480000000003"/>
    <s v="Amit Pillai"/>
    <n v="34"/>
    <x v="2"/>
    <s v="Cash"/>
    <n v="1"/>
    <s v="OnePlus Nord"/>
  </r>
  <r>
    <n v="1731"/>
    <n v="13"/>
    <n v="2"/>
    <n v="2023"/>
    <s v="Monday"/>
    <x v="2"/>
    <n v="1"/>
    <n v="35058.339999999997"/>
    <s v="Ayesha Dutta"/>
    <n v="39"/>
    <x v="16"/>
    <s v="Cash"/>
    <n v="5"/>
    <s v="OnePlus 9"/>
  </r>
  <r>
    <n v="1732"/>
    <n v="13"/>
    <n v="2"/>
    <n v="2023"/>
    <s v="Monday"/>
    <x v="3"/>
    <n v="7"/>
    <n v="54199.11"/>
    <s v="Vivek Siddiqui"/>
    <n v="36"/>
    <x v="1"/>
    <s v="Debit Card"/>
    <n v="5"/>
    <s v="Galaxy A51"/>
  </r>
  <r>
    <n v="1733"/>
    <n v="14"/>
    <n v="2"/>
    <n v="2023"/>
    <s v="Tuesday"/>
    <x v="4"/>
    <n v="8"/>
    <n v="16813.87"/>
    <s v="Mala Arora"/>
    <n v="27"/>
    <x v="2"/>
    <s v="Debit Card"/>
    <n v="5"/>
    <s v="iPhone SE"/>
  </r>
  <r>
    <n v="1734"/>
    <n v="14"/>
    <n v="2"/>
    <n v="2023"/>
    <s v="Tuesday"/>
    <x v="2"/>
    <n v="7"/>
    <n v="58360.7"/>
    <s v="Vivek Nair"/>
    <n v="28"/>
    <x v="0"/>
    <s v="Cash"/>
    <n v="1"/>
    <s v="OnePlus 9"/>
  </r>
  <r>
    <n v="1735"/>
    <n v="14"/>
    <n v="2"/>
    <n v="2023"/>
    <s v="Tuesday"/>
    <x v="3"/>
    <n v="4"/>
    <n v="25192.45"/>
    <s v="Arun Luthra"/>
    <n v="55"/>
    <x v="1"/>
    <s v="Debit Card"/>
    <n v="5"/>
    <s v="Galaxy S21"/>
  </r>
  <r>
    <n v="1736"/>
    <n v="14"/>
    <n v="2"/>
    <n v="2023"/>
    <s v="Tuesday"/>
    <x v="2"/>
    <n v="8"/>
    <n v="24935.74"/>
    <s v="Priyanka Roy"/>
    <n v="19"/>
    <x v="1"/>
    <s v="Credit Card"/>
    <n v="1"/>
    <s v="OnePlus 9"/>
  </r>
  <r>
    <n v="1737"/>
    <n v="15"/>
    <n v="2"/>
    <n v="2023"/>
    <s v="Wednesday"/>
    <x v="4"/>
    <n v="5"/>
    <n v="45422.86"/>
    <s v="Pankaj Sheth"/>
    <n v="50"/>
    <x v="1"/>
    <s v="Credit Card"/>
    <n v="4"/>
    <s v="iPhone 11"/>
  </r>
  <r>
    <n v="1738"/>
    <n v="15"/>
    <n v="2"/>
    <n v="2023"/>
    <s v="Wednesday"/>
    <x v="1"/>
    <n v="9"/>
    <n v="14207.08"/>
    <s v="Prashant Arora"/>
    <n v="48"/>
    <x v="2"/>
    <s v="Debit Card"/>
    <n v="4"/>
    <s v="Vivo S1"/>
  </r>
  <r>
    <n v="1739"/>
    <n v="15"/>
    <n v="2"/>
    <n v="2023"/>
    <s v="Wednesday"/>
    <x v="4"/>
    <n v="5"/>
    <n v="11577.86"/>
    <s v="Yogesh Shah"/>
    <n v="52"/>
    <x v="12"/>
    <s v="Cash"/>
    <n v="1"/>
    <s v="iPhone 12"/>
  </r>
  <r>
    <n v="1740"/>
    <n v="16"/>
    <n v="2"/>
    <n v="2023"/>
    <s v="Thursday"/>
    <x v="0"/>
    <n v="1"/>
    <n v="25661.72"/>
    <s v="Tapan Kulkarni"/>
    <n v="54"/>
    <x v="18"/>
    <s v="Credit Card"/>
    <n v="5"/>
    <s v="Mi 11"/>
  </r>
  <r>
    <n v="1741"/>
    <n v="16"/>
    <n v="2"/>
    <n v="2023"/>
    <s v="Thursday"/>
    <x v="2"/>
    <n v="9"/>
    <n v="42284.05"/>
    <s v="Kavita Kumar"/>
    <n v="53"/>
    <x v="1"/>
    <s v="UPI"/>
    <n v="5"/>
    <s v="OnePlus Nord"/>
  </r>
  <r>
    <n v="1742"/>
    <n v="16"/>
    <n v="2"/>
    <n v="2023"/>
    <s v="Thursday"/>
    <x v="2"/>
    <n v="5"/>
    <n v="64456.98"/>
    <s v="Reena Sheth"/>
    <n v="40"/>
    <x v="5"/>
    <s v="Cash"/>
    <n v="3"/>
    <s v="OnePlus Nord"/>
  </r>
  <r>
    <n v="1743"/>
    <n v="17"/>
    <n v="2"/>
    <n v="2023"/>
    <s v="Friday"/>
    <x v="0"/>
    <n v="6"/>
    <n v="60786.11"/>
    <s v="Anjali Alva"/>
    <n v="53"/>
    <x v="0"/>
    <s v="Cash"/>
    <n v="5"/>
    <s v="Redmi 9"/>
  </r>
  <r>
    <n v="1744"/>
    <n v="17"/>
    <n v="2"/>
    <n v="2023"/>
    <s v="Friday"/>
    <x v="0"/>
    <n v="4"/>
    <n v="39426.79"/>
    <s v="Anita Shah"/>
    <n v="57"/>
    <x v="14"/>
    <s v="UPI"/>
    <n v="1"/>
    <s v="Redmi Note 10"/>
  </r>
  <r>
    <n v="1745"/>
    <n v="17"/>
    <n v="2"/>
    <n v="2023"/>
    <s v="Friday"/>
    <x v="1"/>
    <n v="6"/>
    <n v="12223.12"/>
    <s v="Yogesh Shah"/>
    <n v="56"/>
    <x v="15"/>
    <s v="UPI"/>
    <n v="5"/>
    <s v="Vivo V20"/>
  </r>
  <r>
    <n v="1746"/>
    <n v="18"/>
    <n v="2"/>
    <n v="2023"/>
    <s v="Saturday"/>
    <x v="2"/>
    <n v="8"/>
    <n v="42115.16"/>
    <s v="Jyoti Iyer"/>
    <n v="43"/>
    <x v="11"/>
    <s v="Cash"/>
    <n v="5"/>
    <s v="OnePlus Nord"/>
  </r>
  <r>
    <n v="1747"/>
    <n v="18"/>
    <n v="2"/>
    <n v="2023"/>
    <s v="Saturday"/>
    <x v="2"/>
    <n v="3"/>
    <n v="52287.74"/>
    <s v="Bhavana Arora"/>
    <n v="42"/>
    <x v="2"/>
    <s v="UPI"/>
    <n v="4"/>
    <s v="OnePlus Nord"/>
  </r>
  <r>
    <n v="1748"/>
    <n v="18"/>
    <n v="2"/>
    <n v="2023"/>
    <s v="Saturday"/>
    <x v="1"/>
    <n v="5"/>
    <n v="30349.87"/>
    <s v="Arun Luthra"/>
    <n v="34"/>
    <x v="3"/>
    <s v="Debit Card"/>
    <n v="4"/>
    <s v="Vivo Y51"/>
  </r>
  <r>
    <n v="1749"/>
    <n v="18"/>
    <n v="2"/>
    <n v="2023"/>
    <s v="Saturday"/>
    <x v="3"/>
    <n v="2"/>
    <n v="16663.8"/>
    <s v="Ramesh Rao"/>
    <n v="32"/>
    <x v="5"/>
    <s v="Debit Card"/>
    <n v="1"/>
    <s v="Galaxy Note 20"/>
  </r>
  <r>
    <n v="1750"/>
    <n v="19"/>
    <n v="2"/>
    <n v="2023"/>
    <s v="Sunday"/>
    <x v="1"/>
    <n v="2"/>
    <n v="26714.080000000002"/>
    <s v="Namita Bhatnagar"/>
    <n v="54"/>
    <x v="1"/>
    <s v="Cash"/>
    <n v="1"/>
    <s v="Vivo S1"/>
  </r>
  <r>
    <n v="1751"/>
    <n v="19"/>
    <n v="2"/>
    <n v="2023"/>
    <s v="Sunday"/>
    <x v="4"/>
    <n v="7"/>
    <n v="56295.33"/>
    <s v="Sachin Desai"/>
    <n v="21"/>
    <x v="9"/>
    <s v="Debit Card"/>
    <n v="5"/>
    <s v="iPhone 11"/>
  </r>
  <r>
    <n v="1752"/>
    <n v="19"/>
    <n v="2"/>
    <n v="2023"/>
    <s v="Sunday"/>
    <x v="2"/>
    <n v="6"/>
    <n v="31074.63"/>
    <s v="Mala Kulkarni"/>
    <n v="39"/>
    <x v="1"/>
    <s v="Credit Card"/>
    <n v="1"/>
    <s v="OnePlus Nord"/>
  </r>
  <r>
    <n v="1753"/>
    <n v="20"/>
    <n v="2"/>
    <n v="2023"/>
    <s v="Monday"/>
    <x v="0"/>
    <n v="4"/>
    <n v="58718.89"/>
    <s v="Harish Goyal"/>
    <n v="34"/>
    <x v="1"/>
    <s v="Debit Card"/>
    <n v="5"/>
    <s v="Mi 11"/>
  </r>
  <r>
    <n v="1754"/>
    <n v="20"/>
    <n v="2"/>
    <n v="2023"/>
    <s v="Monday"/>
    <x v="4"/>
    <n v="5"/>
    <n v="29171.29"/>
    <s v="Lata Kaur"/>
    <n v="39"/>
    <x v="1"/>
    <s v="Debit Card"/>
    <n v="5"/>
    <s v="iPhone SE"/>
  </r>
  <r>
    <n v="1755"/>
    <n v="20"/>
    <n v="2"/>
    <n v="2023"/>
    <s v="Monday"/>
    <x v="2"/>
    <n v="1"/>
    <n v="19813.3"/>
    <s v="Ramesh Rao"/>
    <n v="34"/>
    <x v="2"/>
    <s v="UPI"/>
    <n v="1"/>
    <s v="OnePlus 9"/>
  </r>
  <r>
    <n v="1756"/>
    <n v="20"/>
    <n v="2"/>
    <n v="2023"/>
    <s v="Monday"/>
    <x v="1"/>
    <n v="7"/>
    <n v="36150.9"/>
    <s v="Devendra Arora"/>
    <n v="31"/>
    <x v="0"/>
    <s v="Debit Card"/>
    <n v="5"/>
    <s v="Vivo S1"/>
  </r>
  <r>
    <n v="1757"/>
    <n v="21"/>
    <n v="2"/>
    <n v="2023"/>
    <s v="Tuesday"/>
    <x v="4"/>
    <n v="8"/>
    <n v="37136.47"/>
    <s v="Meena Kulkarni"/>
    <n v="31"/>
    <x v="17"/>
    <s v="Cash"/>
    <n v="5"/>
    <s v="iPhone 12"/>
  </r>
  <r>
    <n v="1758"/>
    <n v="21"/>
    <n v="2"/>
    <n v="2023"/>
    <s v="Tuesday"/>
    <x v="2"/>
    <n v="9"/>
    <n v="10966.49"/>
    <s v="Rohan Menon"/>
    <n v="34"/>
    <x v="9"/>
    <s v="Debit Card"/>
    <n v="5"/>
    <s v="OnePlus Nord"/>
  </r>
  <r>
    <n v="1759"/>
    <n v="21"/>
    <n v="2"/>
    <n v="2023"/>
    <s v="Tuesday"/>
    <x v="3"/>
    <n v="8"/>
    <n v="17022.7"/>
    <s v="Nikhil Luthra"/>
    <n v="25"/>
    <x v="15"/>
    <s v="Debit Card"/>
    <n v="5"/>
    <s v="Galaxy S21"/>
  </r>
  <r>
    <n v="1760"/>
    <n v="22"/>
    <n v="2"/>
    <n v="2023"/>
    <s v="Wednesday"/>
    <x v="3"/>
    <n v="5"/>
    <n v="21095.56"/>
    <s v="Kiran Bhattacharya"/>
    <n v="51"/>
    <x v="2"/>
    <s v="Cash"/>
    <n v="5"/>
    <s v="Galaxy Note 20"/>
  </r>
  <r>
    <n v="1761"/>
    <n v="22"/>
    <n v="2"/>
    <n v="2023"/>
    <s v="Wednesday"/>
    <x v="0"/>
    <n v="3"/>
    <n v="16815.240000000002"/>
    <s v="Arun Kaur"/>
    <n v="43"/>
    <x v="1"/>
    <s v="Cash"/>
    <n v="5"/>
    <s v="Redmi Note 10"/>
  </r>
  <r>
    <n v="1762"/>
    <n v="22"/>
    <n v="2"/>
    <n v="2023"/>
    <s v="Wednesday"/>
    <x v="2"/>
    <n v="9"/>
    <n v="30491.56"/>
    <s v="Monika Mehta"/>
    <n v="47"/>
    <x v="2"/>
    <s v="UPI"/>
    <n v="3"/>
    <s v="OnePlus 8T"/>
  </r>
  <r>
    <n v="1763"/>
    <n v="23"/>
    <n v="2"/>
    <n v="2023"/>
    <s v="Thursday"/>
    <x v="3"/>
    <n v="6"/>
    <n v="67877.37"/>
    <s v="Lalita Desai"/>
    <n v="39"/>
    <x v="5"/>
    <s v="Credit Card"/>
    <n v="3"/>
    <s v="Galaxy A51"/>
  </r>
  <r>
    <n v="1764"/>
    <n v="23"/>
    <n v="2"/>
    <n v="2023"/>
    <s v="Thursday"/>
    <x v="1"/>
    <n v="5"/>
    <n v="40553.35"/>
    <s v="Ravi Reddy"/>
    <n v="33"/>
    <x v="1"/>
    <s v="Debit Card"/>
    <n v="5"/>
    <s v="Vivo Y51"/>
  </r>
  <r>
    <n v="1765"/>
    <n v="23"/>
    <n v="2"/>
    <n v="2023"/>
    <s v="Thursday"/>
    <x v="2"/>
    <n v="3"/>
    <n v="47653.36"/>
    <s v="Pooja Patel"/>
    <n v="47"/>
    <x v="2"/>
    <s v="Credit Card"/>
    <n v="1"/>
    <s v="OnePlus 8T"/>
  </r>
  <r>
    <n v="1766"/>
    <n v="24"/>
    <n v="2"/>
    <n v="2023"/>
    <s v="Friday"/>
    <x v="1"/>
    <n v="6"/>
    <n v="31383.19"/>
    <s v="Manoj Jain"/>
    <n v="33"/>
    <x v="4"/>
    <s v="UPI"/>
    <n v="5"/>
    <s v="Vivo Y51"/>
  </r>
  <r>
    <n v="1767"/>
    <n v="24"/>
    <n v="2"/>
    <n v="2023"/>
    <s v="Friday"/>
    <x v="1"/>
    <n v="3"/>
    <n v="29409.27"/>
    <s v="Pooja Solanki"/>
    <n v="55"/>
    <x v="2"/>
    <s v="Cash"/>
    <n v="3"/>
    <s v="Vivo S1"/>
  </r>
  <r>
    <n v="1768"/>
    <n v="24"/>
    <n v="2"/>
    <n v="2023"/>
    <s v="Friday"/>
    <x v="3"/>
    <n v="6"/>
    <n v="11388.81"/>
    <s v="Rohan Menon"/>
    <n v="41"/>
    <x v="1"/>
    <s v="Cash"/>
    <n v="4"/>
    <s v="Galaxy S21"/>
  </r>
  <r>
    <n v="1769"/>
    <n v="24"/>
    <n v="2"/>
    <n v="2023"/>
    <s v="Friday"/>
    <x v="2"/>
    <n v="4"/>
    <n v="40020.019999999997"/>
    <s v="Anjali Patel"/>
    <n v="53"/>
    <x v="1"/>
    <s v="Cash"/>
    <n v="4"/>
    <s v="OnePlus 8T"/>
  </r>
  <r>
    <n v="1770"/>
    <n v="25"/>
    <n v="2"/>
    <n v="2023"/>
    <s v="Saturday"/>
    <x v="4"/>
    <n v="2"/>
    <n v="39016.54"/>
    <s v="Krishna Chatterjee"/>
    <n v="52"/>
    <x v="1"/>
    <s v="UPI"/>
    <n v="5"/>
    <s v="iPhone SE"/>
  </r>
  <r>
    <n v="1771"/>
    <n v="25"/>
    <n v="2"/>
    <n v="2023"/>
    <s v="Saturday"/>
    <x v="3"/>
    <n v="8"/>
    <n v="19469.84"/>
    <s v="Vivek Alva"/>
    <n v="23"/>
    <x v="14"/>
    <s v="Debit Card"/>
    <n v="3"/>
    <s v="Galaxy Note 20"/>
  </r>
  <r>
    <n v="1772"/>
    <n v="25"/>
    <n v="2"/>
    <n v="2023"/>
    <s v="Saturday"/>
    <x v="3"/>
    <n v="4"/>
    <n v="55859.44"/>
    <s v="Reena Deshmukh"/>
    <n v="21"/>
    <x v="2"/>
    <s v="UPI"/>
    <n v="5"/>
    <s v="Galaxy S21"/>
  </r>
  <r>
    <n v="1773"/>
    <n v="26"/>
    <n v="2"/>
    <n v="2023"/>
    <s v="Sunday"/>
    <x v="2"/>
    <n v="9"/>
    <n v="39560.46"/>
    <s v="Jyoti Varma"/>
    <n v="35"/>
    <x v="11"/>
    <s v="Cash"/>
    <n v="3"/>
    <s v="OnePlus 8T"/>
  </r>
  <r>
    <n v="1774"/>
    <n v="26"/>
    <n v="2"/>
    <n v="2023"/>
    <s v="Sunday"/>
    <x v="2"/>
    <n v="7"/>
    <n v="30339.64"/>
    <s v="Bina Bhattacharya"/>
    <n v="23"/>
    <x v="15"/>
    <s v="Debit Card"/>
    <n v="5"/>
    <s v="OnePlus 8T"/>
  </r>
  <r>
    <n v="1775"/>
    <n v="26"/>
    <n v="2"/>
    <n v="2023"/>
    <s v="Sunday"/>
    <x v="1"/>
    <n v="2"/>
    <n v="18814.53"/>
    <s v="Yogesh Sharma"/>
    <n v="43"/>
    <x v="0"/>
    <s v="Cash"/>
    <n v="3"/>
    <s v="Vivo Y51"/>
  </r>
  <r>
    <n v="1776"/>
    <n v="27"/>
    <n v="2"/>
    <n v="2023"/>
    <s v="Monday"/>
    <x v="2"/>
    <n v="4"/>
    <n v="43129.65"/>
    <s v="Bina Jain"/>
    <n v="54"/>
    <x v="2"/>
    <s v="Cash"/>
    <n v="4"/>
    <s v="OnePlus 9"/>
  </r>
  <r>
    <n v="1777"/>
    <n v="27"/>
    <n v="2"/>
    <n v="2023"/>
    <s v="Monday"/>
    <x v="1"/>
    <n v="5"/>
    <n v="55169.02"/>
    <s v="Sneha Yadav"/>
    <n v="44"/>
    <x v="10"/>
    <s v="UPI"/>
    <n v="5"/>
    <s v="Vivo V20"/>
  </r>
  <r>
    <n v="1778"/>
    <n v="27"/>
    <n v="2"/>
    <n v="2023"/>
    <s v="Monday"/>
    <x v="3"/>
    <n v="3"/>
    <n v="26919.96"/>
    <s v="Anand Nair"/>
    <n v="58"/>
    <x v="1"/>
    <s v="UPI"/>
    <n v="5"/>
    <s v="Galaxy A51"/>
  </r>
  <r>
    <n v="1779"/>
    <n v="27"/>
    <n v="2"/>
    <n v="2023"/>
    <s v="Monday"/>
    <x v="0"/>
    <n v="9"/>
    <n v="23127.66"/>
    <s v="Arun Desai"/>
    <n v="28"/>
    <x v="1"/>
    <s v="Credit Card"/>
    <n v="5"/>
    <s v="Mi 11"/>
  </r>
  <r>
    <n v="1780"/>
    <n v="28"/>
    <n v="2"/>
    <n v="2023"/>
    <s v="Tuesday"/>
    <x v="4"/>
    <n v="5"/>
    <n v="41316.1"/>
    <s v="Sunil Sheth"/>
    <n v="55"/>
    <x v="13"/>
    <s v="Cash"/>
    <n v="1"/>
    <s v="iPhone 11"/>
  </r>
  <r>
    <n v="1781"/>
    <n v="28"/>
    <n v="2"/>
    <n v="2023"/>
    <s v="Tuesday"/>
    <x v="3"/>
    <n v="2"/>
    <n v="19320.599999999999"/>
    <s v="Anand Bhattacharya"/>
    <n v="33"/>
    <x v="5"/>
    <s v="Debit Card"/>
    <n v="5"/>
    <s v="Galaxy Note 20"/>
  </r>
  <r>
    <n v="1782"/>
    <n v="28"/>
    <n v="2"/>
    <n v="2023"/>
    <s v="Tuesday"/>
    <x v="2"/>
    <n v="3"/>
    <n v="49996.800000000003"/>
    <s v="Amit Ahuja"/>
    <n v="36"/>
    <x v="14"/>
    <s v="Cash"/>
    <n v="5"/>
    <s v="OnePlus 8T"/>
  </r>
  <r>
    <n v="1783"/>
    <n v="1"/>
    <n v="3"/>
    <n v="2023"/>
    <s v="Wednesday"/>
    <x v="4"/>
    <n v="9"/>
    <n v="46320.62"/>
    <s v="Kiran Rawat"/>
    <n v="32"/>
    <x v="1"/>
    <s v="Debit Card"/>
    <n v="3"/>
    <s v="iPhone 12"/>
  </r>
  <r>
    <n v="1784"/>
    <n v="1"/>
    <n v="3"/>
    <n v="2023"/>
    <s v="Wednesday"/>
    <x v="0"/>
    <n v="7"/>
    <n v="15224.92"/>
    <s v="Nikhil Deshmukh"/>
    <n v="43"/>
    <x v="10"/>
    <s v="Credit Card"/>
    <n v="3"/>
    <s v="Redmi Note 10"/>
  </r>
  <r>
    <n v="1785"/>
    <n v="1"/>
    <n v="3"/>
    <n v="2023"/>
    <s v="Wednesday"/>
    <x v="0"/>
    <n v="2"/>
    <n v="12191.22"/>
    <s v="Meena Thakur"/>
    <n v="58"/>
    <x v="2"/>
    <s v="Cash"/>
    <n v="3"/>
    <s v="Mi 11"/>
  </r>
  <r>
    <n v="1786"/>
    <n v="1"/>
    <n v="3"/>
    <n v="2023"/>
    <s v="Wednesday"/>
    <x v="1"/>
    <n v="9"/>
    <n v="47217.32"/>
    <s v="Pooja Patel"/>
    <n v="48"/>
    <x v="1"/>
    <s v="Debit Card"/>
    <n v="3"/>
    <s v="Vivo Y51"/>
  </r>
  <r>
    <n v="1787"/>
    <n v="2"/>
    <n v="3"/>
    <n v="2023"/>
    <s v="Thursday"/>
    <x v="4"/>
    <n v="4"/>
    <n v="27657.63"/>
    <s v="Bina Goyal"/>
    <n v="36"/>
    <x v="1"/>
    <s v="Debit Card"/>
    <n v="5"/>
    <s v="iPhone 11"/>
  </r>
  <r>
    <n v="1788"/>
    <n v="2"/>
    <n v="3"/>
    <n v="2023"/>
    <s v="Thursday"/>
    <x v="1"/>
    <n v="9"/>
    <n v="15186.75"/>
    <s v="Devendra Luthra"/>
    <n v="41"/>
    <x v="1"/>
    <s v="Credit Card"/>
    <n v="4"/>
    <s v="Vivo Y51"/>
  </r>
  <r>
    <n v="1789"/>
    <n v="2"/>
    <n v="3"/>
    <n v="2023"/>
    <s v="Thursday"/>
    <x v="3"/>
    <n v="2"/>
    <n v="55565.72"/>
    <s v="Navin Malhotra"/>
    <n v="26"/>
    <x v="0"/>
    <s v="UPI"/>
    <n v="5"/>
    <s v="Galaxy A51"/>
  </r>
  <r>
    <n v="1790"/>
    <n v="2"/>
    <n v="3"/>
    <n v="2023"/>
    <s v="Thursday"/>
    <x v="4"/>
    <n v="4"/>
    <n v="28842.639999999999"/>
    <s v="Anand Chatterjee"/>
    <n v="40"/>
    <x v="1"/>
    <s v="Credit Card"/>
    <n v="3"/>
    <s v="iPhone SE"/>
  </r>
  <r>
    <n v="1791"/>
    <n v="3"/>
    <n v="3"/>
    <n v="2023"/>
    <s v="Friday"/>
    <x v="3"/>
    <n v="5"/>
    <n v="37575.97"/>
    <s v="Mala Thakur"/>
    <n v="21"/>
    <x v="14"/>
    <s v="Debit Card"/>
    <n v="5"/>
    <s v="Galaxy Note 20"/>
  </r>
  <r>
    <n v="1792"/>
    <n v="3"/>
    <n v="3"/>
    <n v="2023"/>
    <s v="Friday"/>
    <x v="1"/>
    <n v="2"/>
    <n v="24208.78"/>
    <s v="Anjali Thakur"/>
    <n v="27"/>
    <x v="14"/>
    <s v="Credit Card"/>
    <n v="5"/>
    <s v="Vivo Y51"/>
  </r>
  <r>
    <n v="1793"/>
    <n v="3"/>
    <n v="3"/>
    <n v="2023"/>
    <s v="Friday"/>
    <x v="4"/>
    <n v="1"/>
    <n v="47639.02"/>
    <s v="Harish Kapoor"/>
    <n v="26"/>
    <x v="1"/>
    <s v="UPI"/>
    <n v="3"/>
    <s v="iPhone 11"/>
  </r>
  <r>
    <n v="1794"/>
    <n v="4"/>
    <n v="3"/>
    <n v="2023"/>
    <s v="Saturday"/>
    <x v="1"/>
    <n v="7"/>
    <n v="28089.3"/>
    <s v="Radha Srivastava"/>
    <n v="36"/>
    <x v="13"/>
    <s v="Cash"/>
    <n v="1"/>
    <s v="Vivo S1"/>
  </r>
  <r>
    <n v="1795"/>
    <n v="4"/>
    <n v="3"/>
    <n v="2023"/>
    <s v="Saturday"/>
    <x v="4"/>
    <n v="1"/>
    <n v="68081.259999999995"/>
    <s v="Navin Malhotra"/>
    <n v="32"/>
    <x v="6"/>
    <s v="Credit Card"/>
    <n v="5"/>
    <s v="iPhone 12"/>
  </r>
  <r>
    <n v="1796"/>
    <n v="4"/>
    <n v="3"/>
    <n v="2023"/>
    <s v="Saturday"/>
    <x v="1"/>
    <n v="8"/>
    <n v="52176.85"/>
    <s v="Krishna Alva"/>
    <n v="51"/>
    <x v="1"/>
    <s v="Credit Card"/>
    <n v="5"/>
    <s v="Vivo S1"/>
  </r>
  <r>
    <n v="1797"/>
    <n v="4"/>
    <n v="3"/>
    <n v="2023"/>
    <s v="Saturday"/>
    <x v="0"/>
    <n v="3"/>
    <n v="18203.34"/>
    <s v="Vivek Rathod"/>
    <n v="59"/>
    <x v="3"/>
    <s v="Cash"/>
    <n v="5"/>
    <s v="Redmi 9"/>
  </r>
  <r>
    <n v="1798"/>
    <n v="5"/>
    <n v="3"/>
    <n v="2023"/>
    <s v="Sunday"/>
    <x v="1"/>
    <n v="6"/>
    <n v="35001.69"/>
    <s v="Aditya Kulkarni"/>
    <n v="36"/>
    <x v="2"/>
    <s v="Credit Card"/>
    <n v="1"/>
    <s v="Vivo Y51"/>
  </r>
  <r>
    <n v="1799"/>
    <n v="5"/>
    <n v="3"/>
    <n v="2023"/>
    <s v="Sunday"/>
    <x v="0"/>
    <n v="7"/>
    <n v="33125.269999999997"/>
    <s v="Sanjay Pillai"/>
    <n v="38"/>
    <x v="2"/>
    <s v="UPI"/>
    <n v="5"/>
    <s v="Mi 11"/>
  </r>
  <r>
    <n v="1800"/>
    <n v="5"/>
    <n v="3"/>
    <n v="2023"/>
    <s v="Sunday"/>
    <x v="1"/>
    <n v="1"/>
    <n v="42054.83"/>
    <s v="Kavita Srivastava"/>
    <n v="51"/>
    <x v="13"/>
    <s v="Debit Card"/>
    <n v="1"/>
    <s v="Vivo V20"/>
  </r>
  <r>
    <n v="1801"/>
    <n v="6"/>
    <n v="3"/>
    <n v="2023"/>
    <s v="Monday"/>
    <x v="4"/>
    <n v="6"/>
    <n v="60515.839999999997"/>
    <s v="Priya Dutta"/>
    <n v="34"/>
    <x v="1"/>
    <s v="Credit Card"/>
    <n v="5"/>
    <s v="iPhone 11"/>
  </r>
  <r>
    <n v="1802"/>
    <n v="6"/>
    <n v="3"/>
    <n v="2023"/>
    <s v="Monday"/>
    <x v="4"/>
    <n v="7"/>
    <n v="45005.32"/>
    <s v="Reena Chatterjee"/>
    <n v="35"/>
    <x v="1"/>
    <s v="Cash"/>
    <n v="5"/>
    <s v="iPhone 11"/>
  </r>
  <r>
    <n v="1803"/>
    <n v="6"/>
    <n v="3"/>
    <n v="2023"/>
    <s v="Monday"/>
    <x v="4"/>
    <n v="6"/>
    <n v="13693.4"/>
    <s v="Anjali Chaudhary"/>
    <n v="34"/>
    <x v="17"/>
    <s v="Cash"/>
    <n v="1"/>
    <s v="iPhone 12"/>
  </r>
  <r>
    <n v="1804"/>
    <n v="6"/>
    <n v="3"/>
    <n v="2023"/>
    <s v="Monday"/>
    <x v="2"/>
    <n v="4"/>
    <n v="49324.94"/>
    <s v="Radha Ghosh"/>
    <n v="19"/>
    <x v="2"/>
    <s v="Credit Card"/>
    <n v="4"/>
    <s v="OnePlus 8T"/>
  </r>
  <r>
    <n v="1805"/>
    <n v="7"/>
    <n v="3"/>
    <n v="2023"/>
    <s v="Tuesday"/>
    <x v="3"/>
    <n v="1"/>
    <n v="10495.92"/>
    <s v="Neeta Deshmukh"/>
    <n v="18"/>
    <x v="7"/>
    <s v="Cash"/>
    <n v="3"/>
    <s v="Galaxy Note 20"/>
  </r>
  <r>
    <n v="1806"/>
    <n v="7"/>
    <n v="3"/>
    <n v="2023"/>
    <s v="Tuesday"/>
    <x v="4"/>
    <n v="9"/>
    <n v="56797.63"/>
    <s v="Manoj Nambiar"/>
    <n v="27"/>
    <x v="2"/>
    <s v="Debit Card"/>
    <n v="3"/>
    <s v="iPhone 11"/>
  </r>
  <r>
    <n v="1807"/>
    <n v="7"/>
    <n v="3"/>
    <n v="2023"/>
    <s v="Tuesday"/>
    <x v="0"/>
    <n v="4"/>
    <n v="49998.16"/>
    <s v="Navin Sharma"/>
    <n v="54"/>
    <x v="1"/>
    <s v="Debit Card"/>
    <n v="3"/>
    <s v="Redmi 9"/>
  </r>
  <r>
    <n v="1808"/>
    <n v="7"/>
    <n v="3"/>
    <n v="2023"/>
    <s v="Tuesday"/>
    <x v="4"/>
    <n v="7"/>
    <n v="28527.14"/>
    <s v="Kiran Rathod"/>
    <n v="22"/>
    <x v="4"/>
    <s v="Cash"/>
    <n v="1"/>
    <s v="iPhone 11"/>
  </r>
  <r>
    <n v="1809"/>
    <n v="8"/>
    <n v="3"/>
    <n v="2023"/>
    <s v="Wednesday"/>
    <x v="2"/>
    <n v="7"/>
    <n v="27546.51"/>
    <s v="Pooja Goyal"/>
    <n v="29"/>
    <x v="13"/>
    <s v="Credit Card"/>
    <n v="5"/>
    <s v="OnePlus Nord"/>
  </r>
  <r>
    <n v="1810"/>
    <n v="8"/>
    <n v="3"/>
    <n v="2023"/>
    <s v="Wednesday"/>
    <x v="0"/>
    <n v="2"/>
    <n v="57896.38"/>
    <s v="Namita Sheth"/>
    <n v="53"/>
    <x v="11"/>
    <s v="Credit Card"/>
    <n v="5"/>
    <s v="Mi 11"/>
  </r>
  <r>
    <n v="1811"/>
    <n v="8"/>
    <n v="3"/>
    <n v="2023"/>
    <s v="Wednesday"/>
    <x v="2"/>
    <n v="1"/>
    <n v="57000.2"/>
    <s v="Pankaj Bhattacharya"/>
    <n v="48"/>
    <x v="1"/>
    <s v="Cash"/>
    <n v="5"/>
    <s v="OnePlus 8T"/>
  </r>
  <r>
    <n v="1812"/>
    <n v="9"/>
    <n v="3"/>
    <n v="2023"/>
    <s v="Thursday"/>
    <x v="0"/>
    <n v="8"/>
    <n v="31138.14"/>
    <s v="Monika Mathur"/>
    <n v="55"/>
    <x v="2"/>
    <s v="Debit Card"/>
    <n v="5"/>
    <s v="Redmi 9"/>
  </r>
  <r>
    <n v="1813"/>
    <n v="9"/>
    <n v="3"/>
    <n v="2023"/>
    <s v="Thursday"/>
    <x v="1"/>
    <n v="8"/>
    <n v="27936.86"/>
    <s v="Vinod Ahuja"/>
    <n v="26"/>
    <x v="1"/>
    <s v="Debit Card"/>
    <n v="4"/>
    <s v="Vivo S1"/>
  </r>
  <r>
    <n v="1814"/>
    <n v="9"/>
    <n v="3"/>
    <n v="2023"/>
    <s v="Thursday"/>
    <x v="3"/>
    <n v="7"/>
    <n v="43589.49"/>
    <s v="Bhavana Arora"/>
    <n v="43"/>
    <x v="1"/>
    <s v="Credit Card"/>
    <n v="3"/>
    <s v="Galaxy Note 20"/>
  </r>
  <r>
    <n v="1815"/>
    <n v="9"/>
    <n v="3"/>
    <n v="2023"/>
    <s v="Thursday"/>
    <x v="3"/>
    <n v="8"/>
    <n v="10501.94"/>
    <s v="Isha Ahuja"/>
    <n v="32"/>
    <x v="15"/>
    <s v="Debit Card"/>
    <n v="4"/>
    <s v="Galaxy S21"/>
  </r>
  <r>
    <n v="1816"/>
    <n v="10"/>
    <n v="3"/>
    <n v="2023"/>
    <s v="Friday"/>
    <x v="2"/>
    <n v="3"/>
    <n v="14960.02"/>
    <s v="Neeta Desai"/>
    <n v="33"/>
    <x v="15"/>
    <s v="UPI"/>
    <n v="3"/>
    <s v="OnePlus 8T"/>
  </r>
  <r>
    <n v="1817"/>
    <n v="10"/>
    <n v="3"/>
    <n v="2023"/>
    <s v="Friday"/>
    <x v="3"/>
    <n v="2"/>
    <n v="17570.18"/>
    <s v="Kiran Solanki"/>
    <n v="30"/>
    <x v="1"/>
    <s v="Debit Card"/>
    <n v="1"/>
    <s v="Galaxy A51"/>
  </r>
  <r>
    <n v="1818"/>
    <n v="10"/>
    <n v="3"/>
    <n v="2023"/>
    <s v="Friday"/>
    <x v="2"/>
    <n v="7"/>
    <n v="21124.71"/>
    <s v="Pooja Menon"/>
    <n v="42"/>
    <x v="1"/>
    <s v="Credit Card"/>
    <n v="4"/>
    <s v="OnePlus 8T"/>
  </r>
  <r>
    <n v="1819"/>
    <n v="10"/>
    <n v="3"/>
    <n v="2023"/>
    <s v="Friday"/>
    <x v="2"/>
    <n v="8"/>
    <n v="40721.089999999997"/>
    <s v="Sumit Mishra"/>
    <n v="47"/>
    <x v="1"/>
    <s v="Debit Card"/>
    <n v="5"/>
    <s v="OnePlus 8T"/>
  </r>
  <r>
    <n v="1820"/>
    <n v="11"/>
    <n v="3"/>
    <n v="2023"/>
    <s v="Saturday"/>
    <x v="2"/>
    <n v="1"/>
    <n v="69534.509999999995"/>
    <s v="Prashant Jain"/>
    <n v="24"/>
    <x v="2"/>
    <s v="Debit Card"/>
    <n v="3"/>
    <s v="OnePlus Nord"/>
  </r>
  <r>
    <n v="1821"/>
    <n v="11"/>
    <n v="3"/>
    <n v="2023"/>
    <s v="Saturday"/>
    <x v="3"/>
    <n v="9"/>
    <n v="49156.800000000003"/>
    <s v="Ravi Thakur"/>
    <n v="21"/>
    <x v="1"/>
    <s v="Cash"/>
    <n v="5"/>
    <s v="Galaxy S21"/>
  </r>
  <r>
    <n v="1822"/>
    <n v="11"/>
    <n v="3"/>
    <n v="2023"/>
    <s v="Saturday"/>
    <x v="2"/>
    <n v="4"/>
    <n v="13677.93"/>
    <s v="Harish Malhotra"/>
    <n v="57"/>
    <x v="12"/>
    <s v="UPI"/>
    <n v="4"/>
    <s v="OnePlus 9"/>
  </r>
  <r>
    <n v="1823"/>
    <n v="11"/>
    <n v="3"/>
    <n v="2023"/>
    <s v="Saturday"/>
    <x v="3"/>
    <n v="4"/>
    <n v="41534.76"/>
    <s v="Sunita Roy"/>
    <n v="55"/>
    <x v="8"/>
    <s v="Cash"/>
    <n v="1"/>
    <s v="Galaxy A51"/>
  </r>
  <r>
    <n v="1824"/>
    <n v="12"/>
    <n v="3"/>
    <n v="2023"/>
    <s v="Sunday"/>
    <x v="2"/>
    <n v="3"/>
    <n v="39798.71"/>
    <s v="Sumit Teja"/>
    <n v="47"/>
    <x v="14"/>
    <s v="Debit Card"/>
    <n v="5"/>
    <s v="OnePlus Nord"/>
  </r>
  <r>
    <n v="1825"/>
    <n v="12"/>
    <n v="3"/>
    <n v="2023"/>
    <s v="Sunday"/>
    <x v="4"/>
    <n v="6"/>
    <n v="18650.07"/>
    <s v="Lata Reddy"/>
    <n v="27"/>
    <x v="10"/>
    <s v="Debit Card"/>
    <n v="1"/>
    <s v="iPhone 11"/>
  </r>
  <r>
    <n v="1826"/>
    <n v="12"/>
    <n v="3"/>
    <n v="2023"/>
    <s v="Sunday"/>
    <x v="2"/>
    <n v="1"/>
    <n v="65216.34"/>
    <s v="Bhavana Ghosh"/>
    <n v="47"/>
    <x v="1"/>
    <s v="Cash"/>
    <n v="3"/>
    <s v="OnePlus Nord"/>
  </r>
  <r>
    <n v="1827"/>
    <n v="12"/>
    <n v="3"/>
    <n v="2023"/>
    <s v="Sunday"/>
    <x v="0"/>
    <n v="6"/>
    <n v="36445.910000000003"/>
    <s v="Mala Ghosh"/>
    <n v="56"/>
    <x v="2"/>
    <s v="UPI"/>
    <n v="4"/>
    <s v="Redmi 9"/>
  </r>
  <r>
    <n v="1828"/>
    <n v="13"/>
    <n v="3"/>
    <n v="2023"/>
    <s v="Monday"/>
    <x v="2"/>
    <n v="2"/>
    <n v="69673.55"/>
    <s v="Rohan Jain"/>
    <n v="24"/>
    <x v="4"/>
    <s v="Credit Card"/>
    <n v="1"/>
    <s v="OnePlus 8T"/>
  </r>
  <r>
    <n v="1829"/>
    <n v="13"/>
    <n v="3"/>
    <n v="2023"/>
    <s v="Monday"/>
    <x v="1"/>
    <n v="9"/>
    <n v="35204.339999999997"/>
    <s v="Rohan Nambiar"/>
    <n v="53"/>
    <x v="4"/>
    <s v="Cash"/>
    <n v="5"/>
    <s v="Vivo Y51"/>
  </r>
  <r>
    <n v="1830"/>
    <n v="13"/>
    <n v="3"/>
    <n v="2023"/>
    <s v="Monday"/>
    <x v="2"/>
    <n v="2"/>
    <n v="46477.46"/>
    <s v="Navin Chaudhary"/>
    <n v="52"/>
    <x v="2"/>
    <s v="Debit Card"/>
    <n v="5"/>
    <s v="OnePlus 8T"/>
  </r>
  <r>
    <n v="1831"/>
    <n v="13"/>
    <n v="3"/>
    <n v="2023"/>
    <s v="Monday"/>
    <x v="0"/>
    <n v="7"/>
    <n v="16285.75"/>
    <s v="Sanjay Das"/>
    <n v="41"/>
    <x v="3"/>
    <s v="Debit Card"/>
    <n v="5"/>
    <s v="Redmi Note 10"/>
  </r>
  <r>
    <n v="1832"/>
    <n v="14"/>
    <n v="3"/>
    <n v="2023"/>
    <s v="Tuesday"/>
    <x v="0"/>
    <n v="1"/>
    <n v="37253.67"/>
    <s v="Prashant Nair"/>
    <n v="56"/>
    <x v="14"/>
    <s v="Credit Card"/>
    <n v="1"/>
    <s v="Redmi Note 10"/>
  </r>
  <r>
    <n v="1833"/>
    <n v="14"/>
    <n v="3"/>
    <n v="2023"/>
    <s v="Tuesday"/>
    <x v="3"/>
    <n v="7"/>
    <n v="24325.95"/>
    <s v="Prashant Sharma"/>
    <n v="53"/>
    <x v="1"/>
    <s v="Debit Card"/>
    <n v="4"/>
    <s v="Galaxy A51"/>
  </r>
  <r>
    <n v="1834"/>
    <n v="14"/>
    <n v="3"/>
    <n v="2023"/>
    <s v="Tuesday"/>
    <x v="4"/>
    <n v="5"/>
    <n v="60133.89"/>
    <s v="Manoj Kulkarni"/>
    <n v="37"/>
    <x v="16"/>
    <s v="Debit Card"/>
    <n v="4"/>
    <s v="iPhone 11"/>
  </r>
  <r>
    <n v="1835"/>
    <n v="15"/>
    <n v="3"/>
    <n v="2023"/>
    <s v="Wednesday"/>
    <x v="2"/>
    <n v="8"/>
    <n v="57035.18"/>
    <s v="Jyoti Iyer"/>
    <n v="49"/>
    <x v="1"/>
    <s v="Credit Card"/>
    <n v="5"/>
    <s v="OnePlus Nord"/>
  </r>
  <r>
    <n v="1836"/>
    <n v="15"/>
    <n v="3"/>
    <n v="2023"/>
    <s v="Wednesday"/>
    <x v="3"/>
    <n v="4"/>
    <n v="59450.8"/>
    <s v="Namita Roy"/>
    <n v="56"/>
    <x v="2"/>
    <s v="Debit Card"/>
    <n v="5"/>
    <s v="Galaxy A51"/>
  </r>
  <r>
    <n v="1837"/>
    <n v="15"/>
    <n v="3"/>
    <n v="2023"/>
    <s v="Wednesday"/>
    <x v="4"/>
    <n v="7"/>
    <n v="53416.57"/>
    <s v="Kiran Pathak"/>
    <n v="43"/>
    <x v="2"/>
    <s v="Debit Card"/>
    <n v="1"/>
    <s v="iPhone 12"/>
  </r>
  <r>
    <n v="1838"/>
    <n v="15"/>
    <n v="3"/>
    <n v="2023"/>
    <s v="Wednesday"/>
    <x v="2"/>
    <n v="6"/>
    <n v="59960.99"/>
    <s v="Ramesh Verma"/>
    <n v="43"/>
    <x v="6"/>
    <s v="UPI"/>
    <n v="5"/>
    <s v="OnePlus 9"/>
  </r>
  <r>
    <n v="1839"/>
    <n v="16"/>
    <n v="3"/>
    <n v="2023"/>
    <s v="Thursday"/>
    <x v="1"/>
    <n v="5"/>
    <n v="22049.73"/>
    <s v="Deepika Prasad"/>
    <n v="53"/>
    <x v="2"/>
    <s v="Cash"/>
    <n v="1"/>
    <s v="Vivo S1"/>
  </r>
  <r>
    <n v="1840"/>
    <n v="16"/>
    <n v="3"/>
    <n v="2023"/>
    <s v="Thursday"/>
    <x v="2"/>
    <n v="4"/>
    <n v="37122.629999999997"/>
    <s v="Lalita Sheth"/>
    <n v="52"/>
    <x v="1"/>
    <s v="UPI"/>
    <n v="1"/>
    <s v="OnePlus 8T"/>
  </r>
  <r>
    <n v="1841"/>
    <n v="16"/>
    <n v="3"/>
    <n v="2023"/>
    <s v="Thursday"/>
    <x v="0"/>
    <n v="7"/>
    <n v="51510.81"/>
    <s v="Harish Prasad"/>
    <n v="52"/>
    <x v="15"/>
    <s v="UPI"/>
    <n v="1"/>
    <s v="Redmi Note 10"/>
  </r>
  <r>
    <n v="1842"/>
    <n v="17"/>
    <n v="3"/>
    <n v="2023"/>
    <s v="Friday"/>
    <x v="0"/>
    <n v="5"/>
    <n v="48243.55"/>
    <s v="Ayesha Solanki"/>
    <n v="29"/>
    <x v="5"/>
    <s v="Debit Card"/>
    <n v="5"/>
    <s v="Redmi Note 10"/>
  </r>
  <r>
    <n v="1843"/>
    <n v="17"/>
    <n v="3"/>
    <n v="2023"/>
    <s v="Friday"/>
    <x v="1"/>
    <n v="5"/>
    <n v="52981.27"/>
    <s v="Harish Prasad"/>
    <n v="50"/>
    <x v="1"/>
    <s v="Cash"/>
    <n v="5"/>
    <s v="Vivo V20"/>
  </r>
  <r>
    <n v="1844"/>
    <n v="17"/>
    <n v="3"/>
    <n v="2023"/>
    <s v="Friday"/>
    <x v="3"/>
    <n v="1"/>
    <n v="23455.5"/>
    <s v="Vivek Teja"/>
    <n v="53"/>
    <x v="5"/>
    <s v="Cash"/>
    <n v="5"/>
    <s v="Galaxy A51"/>
  </r>
  <r>
    <n v="1845"/>
    <n v="17"/>
    <n v="3"/>
    <n v="2023"/>
    <s v="Friday"/>
    <x v="4"/>
    <n v="2"/>
    <n v="15906.08"/>
    <s v="Rohan Menon"/>
    <n v="31"/>
    <x v="1"/>
    <s v="Debit Card"/>
    <n v="3"/>
    <s v="iPhone 12"/>
  </r>
  <r>
    <n v="1846"/>
    <n v="18"/>
    <n v="3"/>
    <n v="2023"/>
    <s v="Saturday"/>
    <x v="2"/>
    <n v="5"/>
    <n v="65008.39"/>
    <s v="Vijay Varma"/>
    <n v="50"/>
    <x v="1"/>
    <s v="UPI"/>
    <n v="5"/>
    <s v="OnePlus 8T"/>
  </r>
  <r>
    <n v="1847"/>
    <n v="18"/>
    <n v="3"/>
    <n v="2023"/>
    <s v="Saturday"/>
    <x v="0"/>
    <n v="3"/>
    <n v="43610.31"/>
    <s v="Rajesh Menon"/>
    <n v="41"/>
    <x v="5"/>
    <s v="UPI"/>
    <n v="5"/>
    <s v="Redmi Note 10"/>
  </r>
  <r>
    <n v="1848"/>
    <n v="18"/>
    <n v="3"/>
    <n v="2023"/>
    <s v="Saturday"/>
    <x v="3"/>
    <n v="2"/>
    <n v="19229.560000000001"/>
    <s v="Ravi Bhattacharya"/>
    <n v="32"/>
    <x v="12"/>
    <s v="UPI"/>
    <n v="3"/>
    <s v="Galaxy A51"/>
  </r>
  <r>
    <n v="1849"/>
    <n v="19"/>
    <n v="3"/>
    <n v="2023"/>
    <s v="Sunday"/>
    <x v="1"/>
    <n v="4"/>
    <n v="57606.19"/>
    <s v="Sachin Rawat"/>
    <n v="48"/>
    <x v="1"/>
    <s v="Cash"/>
    <n v="1"/>
    <s v="Vivo S1"/>
  </r>
  <r>
    <n v="1850"/>
    <n v="19"/>
    <n v="3"/>
    <n v="2023"/>
    <s v="Sunday"/>
    <x v="0"/>
    <n v="4"/>
    <n v="64895.8"/>
    <s v="Reena Teja"/>
    <n v="34"/>
    <x v="0"/>
    <s v="Debit Card"/>
    <n v="4"/>
    <s v="Redmi 9"/>
  </r>
  <r>
    <n v="1851"/>
    <n v="19"/>
    <n v="3"/>
    <n v="2023"/>
    <s v="Sunday"/>
    <x v="1"/>
    <n v="4"/>
    <n v="20173.810000000001"/>
    <s v="Anita Rawat"/>
    <n v="29"/>
    <x v="6"/>
    <s v="Cash"/>
    <n v="3"/>
    <s v="Vivo S1"/>
  </r>
  <r>
    <n v="1852"/>
    <n v="20"/>
    <n v="3"/>
    <n v="2023"/>
    <s v="Monday"/>
    <x v="2"/>
    <n v="4"/>
    <n v="59044.75"/>
    <s v="Pankaj Alva"/>
    <n v="39"/>
    <x v="1"/>
    <s v="UPI"/>
    <n v="3"/>
    <s v="OnePlus 8T"/>
  </r>
  <r>
    <n v="1853"/>
    <n v="20"/>
    <n v="3"/>
    <n v="2023"/>
    <s v="Monday"/>
    <x v="4"/>
    <n v="3"/>
    <n v="65993.5"/>
    <s v="Meena Mathur"/>
    <n v="40"/>
    <x v="17"/>
    <s v="Cash"/>
    <n v="1"/>
    <s v="iPhone SE"/>
  </r>
  <r>
    <n v="1854"/>
    <n v="20"/>
    <n v="3"/>
    <n v="2023"/>
    <s v="Monday"/>
    <x v="0"/>
    <n v="7"/>
    <n v="66301.7"/>
    <s v="Vinod Prasad"/>
    <n v="43"/>
    <x v="1"/>
    <s v="Cash"/>
    <n v="5"/>
    <s v="Redmi Note 10"/>
  </r>
  <r>
    <n v="1855"/>
    <n v="20"/>
    <n v="3"/>
    <n v="2023"/>
    <s v="Monday"/>
    <x v="0"/>
    <n v="9"/>
    <n v="64849.39"/>
    <s v="Sanjay Menon"/>
    <n v="31"/>
    <x v="4"/>
    <s v="Debit Card"/>
    <n v="5"/>
    <s v="Mi 11"/>
  </r>
  <r>
    <n v="1856"/>
    <n v="21"/>
    <n v="3"/>
    <n v="2023"/>
    <s v="Tuesday"/>
    <x v="2"/>
    <n v="5"/>
    <n v="42785.26"/>
    <s v="Rajesh Shah"/>
    <n v="29"/>
    <x v="2"/>
    <s v="Debit Card"/>
    <n v="3"/>
    <s v="OnePlus Nord"/>
  </r>
  <r>
    <n v="1857"/>
    <n v="21"/>
    <n v="3"/>
    <n v="2023"/>
    <s v="Tuesday"/>
    <x v="3"/>
    <n v="4"/>
    <n v="31372.68"/>
    <s v="Krishna Bhattacharya"/>
    <n v="21"/>
    <x v="17"/>
    <s v="Cash"/>
    <n v="5"/>
    <s v="Galaxy A51"/>
  </r>
  <r>
    <n v="1858"/>
    <n v="21"/>
    <n v="3"/>
    <n v="2023"/>
    <s v="Tuesday"/>
    <x v="4"/>
    <n v="2"/>
    <n v="10436.370000000001"/>
    <s v="Umesh Ghosh"/>
    <n v="30"/>
    <x v="2"/>
    <s v="Credit Card"/>
    <n v="3"/>
    <s v="iPhone 11"/>
  </r>
  <r>
    <n v="1859"/>
    <n v="21"/>
    <n v="3"/>
    <n v="2023"/>
    <s v="Tuesday"/>
    <x v="0"/>
    <n v="2"/>
    <n v="13654.73"/>
    <s v="Kiran Bhattacharya"/>
    <n v="35"/>
    <x v="12"/>
    <s v="Debit Card"/>
    <n v="4"/>
    <s v="Redmi Note 10"/>
  </r>
  <r>
    <n v="1860"/>
    <n v="22"/>
    <n v="3"/>
    <n v="2023"/>
    <s v="Wednesday"/>
    <x v="4"/>
    <n v="5"/>
    <n v="35730.339999999997"/>
    <s v="Manoj Goyal"/>
    <n v="45"/>
    <x v="1"/>
    <s v="Credit Card"/>
    <n v="4"/>
    <s v="iPhone 11"/>
  </r>
  <r>
    <n v="1861"/>
    <n v="22"/>
    <n v="3"/>
    <n v="2023"/>
    <s v="Wednesday"/>
    <x v="0"/>
    <n v="7"/>
    <n v="33959.57"/>
    <s v="Sachin Jain"/>
    <n v="55"/>
    <x v="2"/>
    <s v="Debit Card"/>
    <n v="1"/>
    <s v="Redmi Note 10"/>
  </r>
  <r>
    <n v="1862"/>
    <n v="22"/>
    <n v="3"/>
    <n v="2023"/>
    <s v="Wednesday"/>
    <x v="4"/>
    <n v="9"/>
    <n v="21082.83"/>
    <s v="Bhavana Reddy"/>
    <n v="58"/>
    <x v="6"/>
    <s v="UPI"/>
    <n v="5"/>
    <s v="iPhone 12"/>
  </r>
  <r>
    <n v="1863"/>
    <n v="22"/>
    <n v="3"/>
    <n v="2023"/>
    <s v="Wednesday"/>
    <x v="1"/>
    <n v="7"/>
    <n v="33728.800000000003"/>
    <s v="Sumit Mishra"/>
    <n v="36"/>
    <x v="1"/>
    <s v="Credit Card"/>
    <n v="5"/>
    <s v="Vivo S1"/>
  </r>
  <r>
    <n v="1864"/>
    <n v="23"/>
    <n v="3"/>
    <n v="2023"/>
    <s v="Thursday"/>
    <x v="0"/>
    <n v="5"/>
    <n v="20479"/>
    <s v="Gita Rao"/>
    <n v="55"/>
    <x v="4"/>
    <s v="UPI"/>
    <n v="5"/>
    <s v="Mi 11"/>
  </r>
  <r>
    <n v="1865"/>
    <n v="23"/>
    <n v="3"/>
    <n v="2023"/>
    <s v="Thursday"/>
    <x v="4"/>
    <n v="6"/>
    <n v="60927.48"/>
    <s v="Ravi Teja"/>
    <n v="20"/>
    <x v="7"/>
    <s v="UPI"/>
    <n v="5"/>
    <s v="iPhone 11"/>
  </r>
  <r>
    <n v="1866"/>
    <n v="23"/>
    <n v="3"/>
    <n v="2023"/>
    <s v="Thursday"/>
    <x v="3"/>
    <n v="3"/>
    <n v="27891.69"/>
    <s v="Nikhil Patel"/>
    <n v="36"/>
    <x v="15"/>
    <s v="Cash"/>
    <n v="4"/>
    <s v="Galaxy A51"/>
  </r>
  <r>
    <n v="1867"/>
    <n v="24"/>
    <n v="3"/>
    <n v="2023"/>
    <s v="Friday"/>
    <x v="1"/>
    <n v="5"/>
    <n v="45913.86"/>
    <s v="Deepika Dutta"/>
    <n v="37"/>
    <x v="14"/>
    <s v="UPI"/>
    <n v="1"/>
    <s v="Vivo S1"/>
  </r>
  <r>
    <n v="1868"/>
    <n v="24"/>
    <n v="3"/>
    <n v="2023"/>
    <s v="Friday"/>
    <x v="1"/>
    <n v="8"/>
    <n v="40170.58"/>
    <s v="Manoj Goyal"/>
    <n v="42"/>
    <x v="1"/>
    <s v="UPI"/>
    <n v="4"/>
    <s v="Vivo V20"/>
  </r>
  <r>
    <n v="1869"/>
    <n v="24"/>
    <n v="3"/>
    <n v="2023"/>
    <s v="Friday"/>
    <x v="3"/>
    <n v="1"/>
    <n v="13112.92"/>
    <s v="Shruti Verma"/>
    <n v="28"/>
    <x v="1"/>
    <s v="UPI"/>
    <n v="3"/>
    <s v="Galaxy A51"/>
  </r>
  <r>
    <n v="1870"/>
    <n v="24"/>
    <n v="3"/>
    <n v="2023"/>
    <s v="Friday"/>
    <x v="4"/>
    <n v="1"/>
    <n v="66534.02"/>
    <s v="Meena Desai"/>
    <n v="34"/>
    <x v="17"/>
    <s v="UPI"/>
    <n v="5"/>
    <s v="iPhone 11"/>
  </r>
  <r>
    <n v="1871"/>
    <n v="25"/>
    <n v="3"/>
    <n v="2023"/>
    <s v="Saturday"/>
    <x v="2"/>
    <n v="7"/>
    <n v="41633.56"/>
    <s v="Vivek Pathak"/>
    <n v="52"/>
    <x v="18"/>
    <s v="Cash"/>
    <n v="5"/>
    <s v="OnePlus Nord"/>
  </r>
  <r>
    <n v="1872"/>
    <n v="25"/>
    <n v="3"/>
    <n v="2023"/>
    <s v="Saturday"/>
    <x v="3"/>
    <n v="5"/>
    <n v="29503.46"/>
    <s v="Vinod Kumar"/>
    <n v="31"/>
    <x v="2"/>
    <s v="Cash"/>
    <n v="5"/>
    <s v="Galaxy A51"/>
  </r>
  <r>
    <n v="1873"/>
    <n v="25"/>
    <n v="3"/>
    <n v="2023"/>
    <s v="Saturday"/>
    <x v="4"/>
    <n v="5"/>
    <n v="19487.59"/>
    <s v="Priya Dutta"/>
    <n v="56"/>
    <x v="0"/>
    <s v="UPI"/>
    <n v="3"/>
    <s v="iPhone SE"/>
  </r>
  <r>
    <n v="1874"/>
    <n v="26"/>
    <n v="3"/>
    <n v="2023"/>
    <s v="Sunday"/>
    <x v="3"/>
    <n v="1"/>
    <n v="30311.599999999999"/>
    <s v="Kiran Gupta"/>
    <n v="36"/>
    <x v="1"/>
    <s v="Credit Card"/>
    <n v="5"/>
    <s v="Galaxy A51"/>
  </r>
  <r>
    <n v="1875"/>
    <n v="26"/>
    <n v="3"/>
    <n v="2023"/>
    <s v="Sunday"/>
    <x v="3"/>
    <n v="9"/>
    <n v="11230.7"/>
    <s v="Namita Kumar"/>
    <n v="20"/>
    <x v="1"/>
    <s v="Debit Card"/>
    <n v="5"/>
    <s v="Galaxy A51"/>
  </r>
  <r>
    <n v="1876"/>
    <n v="26"/>
    <n v="3"/>
    <n v="2023"/>
    <s v="Sunday"/>
    <x v="0"/>
    <n v="1"/>
    <n v="31813.49"/>
    <s v="Krishna Patel"/>
    <n v="51"/>
    <x v="5"/>
    <s v="Credit Card"/>
    <n v="5"/>
    <s v="Redmi Note 10"/>
  </r>
  <r>
    <n v="1877"/>
    <n v="27"/>
    <n v="3"/>
    <n v="2023"/>
    <s v="Monday"/>
    <x v="4"/>
    <n v="5"/>
    <n v="41889.160000000003"/>
    <s v="Tapan Chatterjee"/>
    <n v="58"/>
    <x v="10"/>
    <s v="UPI"/>
    <n v="3"/>
    <s v="iPhone SE"/>
  </r>
  <r>
    <n v="1878"/>
    <n v="27"/>
    <n v="3"/>
    <n v="2023"/>
    <s v="Monday"/>
    <x v="2"/>
    <n v="9"/>
    <n v="62311.97"/>
    <s v="Kiran Malhotra"/>
    <n v="39"/>
    <x v="2"/>
    <s v="Cash"/>
    <n v="5"/>
    <s v="OnePlus Nord"/>
  </r>
  <r>
    <n v="1879"/>
    <n v="27"/>
    <n v="3"/>
    <n v="2023"/>
    <s v="Monday"/>
    <x v="0"/>
    <n v="4"/>
    <n v="51242.47"/>
    <s v="Aditya Mishra"/>
    <n v="55"/>
    <x v="4"/>
    <s v="UPI"/>
    <n v="5"/>
    <s v="Mi 11"/>
  </r>
  <r>
    <n v="1880"/>
    <n v="28"/>
    <n v="3"/>
    <n v="2023"/>
    <s v="Tuesday"/>
    <x v="3"/>
    <n v="8"/>
    <n v="16694.939999999999"/>
    <s v="Anand Kapoor"/>
    <n v="44"/>
    <x v="6"/>
    <s v="UPI"/>
    <n v="5"/>
    <s v="Galaxy A51"/>
  </r>
  <r>
    <n v="1881"/>
    <n v="28"/>
    <n v="3"/>
    <n v="2023"/>
    <s v="Tuesday"/>
    <x v="3"/>
    <n v="6"/>
    <n v="18864.78"/>
    <s v="Anita Dutta"/>
    <n v="38"/>
    <x v="3"/>
    <s v="Cash"/>
    <n v="3"/>
    <s v="Galaxy Note 20"/>
  </r>
  <r>
    <n v="1882"/>
    <n v="28"/>
    <n v="3"/>
    <n v="2023"/>
    <s v="Tuesday"/>
    <x v="3"/>
    <n v="3"/>
    <n v="35687.4"/>
    <s v="Radha Gupta"/>
    <n v="58"/>
    <x v="2"/>
    <s v="Credit Card"/>
    <n v="3"/>
    <s v="Galaxy Note 20"/>
  </r>
  <r>
    <n v="1883"/>
    <n v="28"/>
    <n v="3"/>
    <n v="2023"/>
    <s v="Tuesday"/>
    <x v="4"/>
    <n v="4"/>
    <n v="21742.47"/>
    <s v="Kiran Solanki"/>
    <n v="48"/>
    <x v="18"/>
    <s v="Debit Card"/>
    <n v="4"/>
    <s v="iPhone 11"/>
  </r>
  <r>
    <n v="1884"/>
    <n v="29"/>
    <n v="3"/>
    <n v="2023"/>
    <s v="Wednesday"/>
    <x v="4"/>
    <n v="2"/>
    <n v="11670.99"/>
    <s v="Meena Patel"/>
    <n v="44"/>
    <x v="14"/>
    <s v="UPI"/>
    <n v="5"/>
    <s v="iPhone 11"/>
  </r>
  <r>
    <n v="1885"/>
    <n v="29"/>
    <n v="3"/>
    <n v="2023"/>
    <s v="Wednesday"/>
    <x v="0"/>
    <n v="1"/>
    <n v="58300.89"/>
    <s v="Vivek Yadav"/>
    <n v="54"/>
    <x v="14"/>
    <s v="Cash"/>
    <n v="3"/>
    <s v="Redmi Note 10"/>
  </r>
  <r>
    <n v="1886"/>
    <n v="29"/>
    <n v="3"/>
    <n v="2023"/>
    <s v="Wednesday"/>
    <x v="2"/>
    <n v="8"/>
    <n v="11171.35"/>
    <s v="Kunal Yadav"/>
    <n v="19"/>
    <x v="2"/>
    <s v="Debit Card"/>
    <n v="5"/>
    <s v="OnePlus 9"/>
  </r>
  <r>
    <n v="1887"/>
    <n v="29"/>
    <n v="3"/>
    <n v="2023"/>
    <s v="Wednesday"/>
    <x v="0"/>
    <n v="1"/>
    <n v="59841.38"/>
    <s v="Vivek Rathod"/>
    <n v="26"/>
    <x v="6"/>
    <s v="Debit Card"/>
    <n v="1"/>
    <s v="Mi 11"/>
  </r>
  <r>
    <n v="1888"/>
    <n v="30"/>
    <n v="3"/>
    <n v="2023"/>
    <s v="Thursday"/>
    <x v="1"/>
    <n v="1"/>
    <n v="18646.240000000002"/>
    <s v="Vijay Rao"/>
    <n v="36"/>
    <x v="8"/>
    <s v="Debit Card"/>
    <n v="5"/>
    <s v="Vivo V20"/>
  </r>
  <r>
    <n v="1889"/>
    <n v="30"/>
    <n v="3"/>
    <n v="2023"/>
    <s v="Thursday"/>
    <x v="3"/>
    <n v="4"/>
    <n v="68480.7"/>
    <s v="Sachin Ghosh"/>
    <n v="59"/>
    <x v="1"/>
    <s v="Cash"/>
    <n v="5"/>
    <s v="Galaxy S21"/>
  </r>
  <r>
    <n v="1890"/>
    <n v="30"/>
    <n v="3"/>
    <n v="2023"/>
    <s v="Thursday"/>
    <x v="3"/>
    <n v="6"/>
    <n v="46232.43"/>
    <s v="Vinod Verma"/>
    <n v="53"/>
    <x v="2"/>
    <s v="UPI"/>
    <n v="5"/>
    <s v="Galaxy A51"/>
  </r>
  <r>
    <n v="1891"/>
    <n v="31"/>
    <n v="3"/>
    <n v="2023"/>
    <s v="Friday"/>
    <x v="3"/>
    <n v="9"/>
    <n v="54098.98"/>
    <s v="Tanuja Rao"/>
    <n v="27"/>
    <x v="2"/>
    <s v="Cash"/>
    <n v="5"/>
    <s v="Galaxy S21"/>
  </r>
  <r>
    <n v="1892"/>
    <n v="31"/>
    <n v="3"/>
    <n v="2023"/>
    <s v="Friday"/>
    <x v="0"/>
    <n v="1"/>
    <n v="16629.02"/>
    <s v="Rajesh Chatterjee"/>
    <n v="57"/>
    <x v="2"/>
    <s v="UPI"/>
    <n v="5"/>
    <s v="Mi 11"/>
  </r>
  <r>
    <n v="1893"/>
    <n v="31"/>
    <n v="3"/>
    <n v="2023"/>
    <s v="Friday"/>
    <x v="0"/>
    <n v="7"/>
    <n v="61726.239999999998"/>
    <s v="Vivek Nambiar"/>
    <n v="56"/>
    <x v="14"/>
    <s v="Credit Card"/>
    <n v="1"/>
    <s v="Mi 11"/>
  </r>
  <r>
    <n v="1894"/>
    <n v="1"/>
    <n v="4"/>
    <n v="2023"/>
    <s v="Saturday"/>
    <x v="3"/>
    <n v="5"/>
    <n v="60351.54"/>
    <s v="Lata Dutta"/>
    <n v="24"/>
    <x v="14"/>
    <s v="Debit Card"/>
    <n v="5"/>
    <s v="Galaxy Note 20"/>
  </r>
  <r>
    <n v="1895"/>
    <n v="1"/>
    <n v="4"/>
    <n v="2023"/>
    <s v="Saturday"/>
    <x v="0"/>
    <n v="8"/>
    <n v="49179.56"/>
    <s v="Yogesh Siddiqui"/>
    <n v="21"/>
    <x v="12"/>
    <s v="UPI"/>
    <n v="5"/>
    <s v="Mi 11"/>
  </r>
  <r>
    <n v="1896"/>
    <n v="1"/>
    <n v="4"/>
    <n v="2023"/>
    <s v="Saturday"/>
    <x v="4"/>
    <n v="7"/>
    <n v="40136.49"/>
    <s v="Anita Deshmukh"/>
    <n v="32"/>
    <x v="5"/>
    <s v="Credit Card"/>
    <n v="3"/>
    <s v="iPhone SE"/>
  </r>
  <r>
    <n v="1897"/>
    <n v="1"/>
    <n v="4"/>
    <n v="2023"/>
    <s v="Saturday"/>
    <x v="4"/>
    <n v="4"/>
    <n v="53289.35"/>
    <s v="Shruti Sheth"/>
    <n v="29"/>
    <x v="15"/>
    <s v="Cash"/>
    <n v="5"/>
    <s v="iPhone 12"/>
  </r>
  <r>
    <n v="1898"/>
    <n v="2"/>
    <n v="4"/>
    <n v="2023"/>
    <s v="Sunday"/>
    <x v="0"/>
    <n v="4"/>
    <n v="10355.69"/>
    <s v="Shruti Chaudhary"/>
    <n v="23"/>
    <x v="1"/>
    <s v="Debit Card"/>
    <n v="5"/>
    <s v="Mi 11"/>
  </r>
  <r>
    <n v="1899"/>
    <n v="2"/>
    <n v="4"/>
    <n v="2023"/>
    <s v="Sunday"/>
    <x v="3"/>
    <n v="6"/>
    <n v="45546.45"/>
    <s v="Lalita Patel"/>
    <n v="26"/>
    <x v="4"/>
    <s v="UPI"/>
    <n v="5"/>
    <s v="Galaxy A51"/>
  </r>
  <r>
    <n v="1900"/>
    <n v="2"/>
    <n v="4"/>
    <n v="2023"/>
    <s v="Sunday"/>
    <x v="0"/>
    <n v="6"/>
    <n v="60844.37"/>
    <s v="Isha Thakur"/>
    <n v="52"/>
    <x v="1"/>
    <s v="Debit Card"/>
    <n v="5"/>
    <s v="Mi 11"/>
  </r>
  <r>
    <n v="1901"/>
    <n v="3"/>
    <n v="4"/>
    <n v="2023"/>
    <s v="Monday"/>
    <x v="0"/>
    <n v="9"/>
    <n v="31413.99"/>
    <s v="Harish Pillai"/>
    <n v="25"/>
    <x v="1"/>
    <s v="Debit Card"/>
    <n v="5"/>
    <s v="Redmi Note 10"/>
  </r>
  <r>
    <n v="1902"/>
    <n v="3"/>
    <n v="4"/>
    <n v="2023"/>
    <s v="Monday"/>
    <x v="0"/>
    <n v="5"/>
    <n v="16497.36"/>
    <s v="Nikhil Solanki"/>
    <n v="24"/>
    <x v="2"/>
    <s v="Debit Card"/>
    <n v="5"/>
    <s v="Redmi 9"/>
  </r>
  <r>
    <n v="1903"/>
    <n v="3"/>
    <n v="4"/>
    <n v="2023"/>
    <s v="Monday"/>
    <x v="1"/>
    <n v="8"/>
    <n v="35252.629999999997"/>
    <s v="Radha Sheth"/>
    <n v="21"/>
    <x v="12"/>
    <s v="Cash"/>
    <n v="5"/>
    <s v="Vivo V20"/>
  </r>
  <r>
    <n v="1904"/>
    <n v="3"/>
    <n v="4"/>
    <n v="2023"/>
    <s v="Monday"/>
    <x v="4"/>
    <n v="5"/>
    <n v="53626.27"/>
    <s v="Priya Reddy"/>
    <n v="30"/>
    <x v="1"/>
    <s v="Debit Card"/>
    <n v="5"/>
    <s v="iPhone SE"/>
  </r>
  <r>
    <n v="1905"/>
    <n v="4"/>
    <n v="4"/>
    <n v="2023"/>
    <s v="Tuesday"/>
    <x v="2"/>
    <n v="2"/>
    <n v="16438.07"/>
    <s v="Sunita Mathur"/>
    <n v="36"/>
    <x v="6"/>
    <s v="UPI"/>
    <n v="5"/>
    <s v="OnePlus 8T"/>
  </r>
  <r>
    <n v="1906"/>
    <n v="4"/>
    <n v="4"/>
    <n v="2023"/>
    <s v="Tuesday"/>
    <x v="2"/>
    <n v="6"/>
    <n v="22362.91"/>
    <s v="Bhavana Jain"/>
    <n v="24"/>
    <x v="1"/>
    <s v="Cash"/>
    <n v="1"/>
    <s v="OnePlus 8T"/>
  </r>
  <r>
    <n v="1907"/>
    <n v="4"/>
    <n v="4"/>
    <n v="2023"/>
    <s v="Tuesday"/>
    <x v="1"/>
    <n v="9"/>
    <n v="18853.11"/>
    <s v="Namita Ghosh"/>
    <n v="27"/>
    <x v="2"/>
    <s v="Credit Card"/>
    <n v="4"/>
    <s v="Vivo V20"/>
  </r>
  <r>
    <n v="1908"/>
    <n v="5"/>
    <n v="4"/>
    <n v="2023"/>
    <s v="Wednesday"/>
    <x v="0"/>
    <n v="3"/>
    <n v="57816.87"/>
    <s v="Harish Sharma"/>
    <n v="42"/>
    <x v="2"/>
    <s v="UPI"/>
    <n v="4"/>
    <s v="Redmi Note 10"/>
  </r>
  <r>
    <n v="1909"/>
    <n v="5"/>
    <n v="4"/>
    <n v="2023"/>
    <s v="Wednesday"/>
    <x v="1"/>
    <n v="1"/>
    <n v="13773.56"/>
    <s v="Bina Singh"/>
    <n v="52"/>
    <x v="1"/>
    <s v="Cash"/>
    <n v="4"/>
    <s v="Vivo S1"/>
  </r>
  <r>
    <n v="1910"/>
    <n v="5"/>
    <n v="4"/>
    <n v="2023"/>
    <s v="Wednesday"/>
    <x v="1"/>
    <n v="1"/>
    <n v="51195.19"/>
    <s v="Bhavana Dutta"/>
    <n v="42"/>
    <x v="1"/>
    <s v="UPI"/>
    <n v="4"/>
    <s v="Vivo V20"/>
  </r>
  <r>
    <n v="1911"/>
    <n v="5"/>
    <n v="4"/>
    <n v="2023"/>
    <s v="Wednesday"/>
    <x v="3"/>
    <n v="3"/>
    <n v="31987.42"/>
    <s v="Neeta Desai"/>
    <n v="46"/>
    <x v="2"/>
    <s v="UPI"/>
    <n v="1"/>
    <s v="Galaxy S21"/>
  </r>
  <r>
    <n v="1912"/>
    <n v="6"/>
    <n v="4"/>
    <n v="2023"/>
    <s v="Thursday"/>
    <x v="4"/>
    <n v="5"/>
    <n v="55347.47"/>
    <s v="Pankaj Varma"/>
    <n v="29"/>
    <x v="3"/>
    <s v="Credit Card"/>
    <n v="1"/>
    <s v="iPhone 11"/>
  </r>
  <r>
    <n v="1913"/>
    <n v="6"/>
    <n v="4"/>
    <n v="2023"/>
    <s v="Thursday"/>
    <x v="2"/>
    <n v="3"/>
    <n v="67863.009999999995"/>
    <s v="Tanuja Teja"/>
    <n v="57"/>
    <x v="2"/>
    <s v="Cash"/>
    <n v="5"/>
    <s v="OnePlus 8T"/>
  </r>
  <r>
    <n v="1914"/>
    <n v="6"/>
    <n v="4"/>
    <n v="2023"/>
    <s v="Thursday"/>
    <x v="0"/>
    <n v="9"/>
    <n v="16872.72"/>
    <s v="Vijay Das"/>
    <n v="29"/>
    <x v="9"/>
    <s v="Debit Card"/>
    <n v="1"/>
    <s v="Mi 11"/>
  </r>
  <r>
    <n v="1915"/>
    <n v="7"/>
    <n v="4"/>
    <n v="2023"/>
    <s v="Friday"/>
    <x v="2"/>
    <n v="8"/>
    <n v="28863.1"/>
    <s v="Pankaj Srivastava"/>
    <n v="23"/>
    <x v="3"/>
    <s v="UPI"/>
    <n v="4"/>
    <s v="OnePlus 8T"/>
  </r>
  <r>
    <n v="1916"/>
    <n v="7"/>
    <n v="4"/>
    <n v="2023"/>
    <s v="Friday"/>
    <x v="2"/>
    <n v="3"/>
    <n v="58607.53"/>
    <s v="Nikhil Solanki"/>
    <n v="27"/>
    <x v="1"/>
    <s v="UPI"/>
    <n v="4"/>
    <s v="OnePlus 8T"/>
  </r>
  <r>
    <n v="1917"/>
    <n v="7"/>
    <n v="4"/>
    <n v="2023"/>
    <s v="Friday"/>
    <x v="4"/>
    <n v="9"/>
    <n v="25969.5"/>
    <s v="Nikhil Reddy"/>
    <n v="19"/>
    <x v="0"/>
    <s v="UPI"/>
    <n v="5"/>
    <s v="iPhone 11"/>
  </r>
  <r>
    <n v="1918"/>
    <n v="7"/>
    <n v="4"/>
    <n v="2023"/>
    <s v="Friday"/>
    <x v="2"/>
    <n v="6"/>
    <n v="22907.24"/>
    <s v="Monika Solanki"/>
    <n v="42"/>
    <x v="0"/>
    <s v="UPI"/>
    <n v="5"/>
    <s v="OnePlus 8T"/>
  </r>
  <r>
    <n v="1919"/>
    <n v="8"/>
    <n v="4"/>
    <n v="2023"/>
    <s v="Saturday"/>
    <x v="2"/>
    <n v="7"/>
    <n v="59522.68"/>
    <s v="Priyanka Menon"/>
    <n v="24"/>
    <x v="16"/>
    <s v="UPI"/>
    <n v="4"/>
    <s v="OnePlus Nord"/>
  </r>
  <r>
    <n v="1920"/>
    <n v="8"/>
    <n v="4"/>
    <n v="2023"/>
    <s v="Saturday"/>
    <x v="1"/>
    <n v="4"/>
    <n v="69224.94"/>
    <s v="Neeta Mathur"/>
    <n v="57"/>
    <x v="11"/>
    <s v="Cash"/>
    <n v="4"/>
    <s v="Vivo Y51"/>
  </r>
  <r>
    <n v="1921"/>
    <n v="8"/>
    <n v="4"/>
    <n v="2023"/>
    <s v="Saturday"/>
    <x v="4"/>
    <n v="4"/>
    <n v="43412.84"/>
    <s v="Aditya Luthra"/>
    <n v="40"/>
    <x v="0"/>
    <s v="UPI"/>
    <n v="4"/>
    <s v="iPhone 11"/>
  </r>
  <r>
    <n v="1922"/>
    <n v="9"/>
    <n v="4"/>
    <n v="2023"/>
    <s v="Sunday"/>
    <x v="3"/>
    <n v="2"/>
    <n v="26682.92"/>
    <s v="Ramesh Gupta"/>
    <n v="28"/>
    <x v="17"/>
    <s v="UPI"/>
    <n v="1"/>
    <s v="Galaxy Note 20"/>
  </r>
  <r>
    <n v="1923"/>
    <n v="9"/>
    <n v="4"/>
    <n v="2023"/>
    <s v="Sunday"/>
    <x v="0"/>
    <n v="5"/>
    <n v="33913.96"/>
    <s v="Sanjay Ghosh"/>
    <n v="53"/>
    <x v="1"/>
    <s v="UPI"/>
    <n v="5"/>
    <s v="Mi 11"/>
  </r>
  <r>
    <n v="1924"/>
    <n v="9"/>
    <n v="4"/>
    <n v="2023"/>
    <s v="Sunday"/>
    <x v="2"/>
    <n v="8"/>
    <n v="20207.82"/>
    <s v="Vijay Prasad"/>
    <n v="40"/>
    <x v="1"/>
    <s v="Debit Card"/>
    <n v="5"/>
    <s v="OnePlus 8T"/>
  </r>
  <r>
    <n v="1925"/>
    <n v="9"/>
    <n v="4"/>
    <n v="2023"/>
    <s v="Sunday"/>
    <x v="0"/>
    <n v="7"/>
    <n v="55713.24"/>
    <s v="Pooja Thakur"/>
    <n v="24"/>
    <x v="11"/>
    <s v="Debit Card"/>
    <n v="4"/>
    <s v="Redmi Note 10"/>
  </r>
  <r>
    <n v="1926"/>
    <n v="10"/>
    <n v="4"/>
    <n v="2023"/>
    <s v="Monday"/>
    <x v="3"/>
    <n v="7"/>
    <n v="56408.44"/>
    <s v="Pankaj Desai"/>
    <n v="44"/>
    <x v="2"/>
    <s v="Cash"/>
    <n v="5"/>
    <s v="Galaxy S21"/>
  </r>
  <r>
    <n v="1927"/>
    <n v="10"/>
    <n v="4"/>
    <n v="2023"/>
    <s v="Monday"/>
    <x v="0"/>
    <n v="6"/>
    <n v="62507.26"/>
    <s v="Sumit Teja"/>
    <n v="30"/>
    <x v="9"/>
    <s v="UPI"/>
    <n v="4"/>
    <s v="Mi 11"/>
  </r>
  <r>
    <n v="1928"/>
    <n v="10"/>
    <n v="4"/>
    <n v="2023"/>
    <s v="Monday"/>
    <x v="3"/>
    <n v="3"/>
    <n v="11596.15"/>
    <s v="Priyanka Yadav"/>
    <n v="34"/>
    <x v="6"/>
    <s v="UPI"/>
    <n v="1"/>
    <s v="Galaxy Note 20"/>
  </r>
  <r>
    <n v="1929"/>
    <n v="10"/>
    <n v="4"/>
    <n v="2023"/>
    <s v="Monday"/>
    <x v="1"/>
    <n v="5"/>
    <n v="43718.879999999997"/>
    <s v="Isha Arora"/>
    <n v="49"/>
    <x v="18"/>
    <s v="Credit Card"/>
    <n v="4"/>
    <s v="Vivo Y51"/>
  </r>
  <r>
    <n v="1930"/>
    <n v="11"/>
    <n v="4"/>
    <n v="2023"/>
    <s v="Tuesday"/>
    <x v="2"/>
    <n v="1"/>
    <n v="22855.33"/>
    <s v="Isha Gupta"/>
    <n v="43"/>
    <x v="7"/>
    <s v="Debit Card"/>
    <n v="2"/>
    <s v="OnePlus Nord"/>
  </r>
  <r>
    <n v="1931"/>
    <n v="11"/>
    <n v="4"/>
    <n v="2023"/>
    <s v="Tuesday"/>
    <x v="3"/>
    <n v="7"/>
    <n v="30452.98"/>
    <s v="Meena Roy"/>
    <n v="39"/>
    <x v="14"/>
    <s v="Credit Card"/>
    <n v="2"/>
    <s v="Galaxy Note 20"/>
  </r>
  <r>
    <n v="1932"/>
    <n v="11"/>
    <n v="4"/>
    <n v="2023"/>
    <s v="Tuesday"/>
    <x v="0"/>
    <n v="9"/>
    <n v="57097.34"/>
    <s v="Priya Bhattacharya"/>
    <n v="30"/>
    <x v="3"/>
    <s v="UPI"/>
    <n v="4"/>
    <s v="Redmi 9"/>
  </r>
  <r>
    <n v="1933"/>
    <n v="12"/>
    <n v="4"/>
    <n v="2023"/>
    <s v="Wednesday"/>
    <x v="2"/>
    <n v="1"/>
    <n v="21522.02"/>
    <s v="Sachin Jain"/>
    <n v="29"/>
    <x v="1"/>
    <s v="UPI"/>
    <n v="2"/>
    <s v="OnePlus Nord"/>
  </r>
  <r>
    <n v="1934"/>
    <n v="12"/>
    <n v="4"/>
    <n v="2023"/>
    <s v="Wednesday"/>
    <x v="1"/>
    <n v="2"/>
    <n v="48300.51"/>
    <s v="Meena Menon"/>
    <n v="24"/>
    <x v="5"/>
    <s v="Credit Card"/>
    <n v="2"/>
    <s v="Vivo Y51"/>
  </r>
  <r>
    <n v="1935"/>
    <n v="12"/>
    <n v="4"/>
    <n v="2023"/>
    <s v="Wednesday"/>
    <x v="2"/>
    <n v="3"/>
    <n v="49273.97"/>
    <s v="Monika Bhatnagar"/>
    <n v="18"/>
    <x v="5"/>
    <s v="Cash"/>
    <n v="5"/>
    <s v="OnePlus 9"/>
  </r>
  <r>
    <n v="1936"/>
    <n v="13"/>
    <n v="4"/>
    <n v="2023"/>
    <s v="Thursday"/>
    <x v="3"/>
    <n v="3"/>
    <n v="67245.63"/>
    <s v="Manoj Kaur"/>
    <n v="50"/>
    <x v="1"/>
    <s v="Cash"/>
    <n v="1"/>
    <s v="Galaxy Note 20"/>
  </r>
  <r>
    <n v="1937"/>
    <n v="13"/>
    <n v="4"/>
    <n v="2023"/>
    <s v="Thursday"/>
    <x v="1"/>
    <n v="8"/>
    <n v="56509.66"/>
    <s v="Manoj Thakur"/>
    <n v="31"/>
    <x v="12"/>
    <s v="Credit Card"/>
    <n v="5"/>
    <s v="Vivo Y51"/>
  </r>
  <r>
    <n v="1938"/>
    <n v="13"/>
    <n v="4"/>
    <n v="2023"/>
    <s v="Thursday"/>
    <x v="0"/>
    <n v="7"/>
    <n v="58218.11"/>
    <s v="Priya Patel"/>
    <n v="58"/>
    <x v="15"/>
    <s v="UPI"/>
    <n v="1"/>
    <s v="Redmi Note 10"/>
  </r>
  <r>
    <n v="1939"/>
    <n v="13"/>
    <n v="4"/>
    <n v="2023"/>
    <s v="Thursday"/>
    <x v="1"/>
    <n v="6"/>
    <n v="41896.04"/>
    <s v="Deepika Desai"/>
    <n v="34"/>
    <x v="1"/>
    <s v="Credit Card"/>
    <n v="1"/>
    <s v="Vivo V20"/>
  </r>
  <r>
    <n v="1940"/>
    <n v="14"/>
    <n v="4"/>
    <n v="2023"/>
    <s v="Friday"/>
    <x v="1"/>
    <n v="4"/>
    <n v="21206.85"/>
    <s v="Anjali Ahuja"/>
    <n v="21"/>
    <x v="7"/>
    <s v="Debit Card"/>
    <n v="5"/>
    <s v="Vivo Y51"/>
  </r>
  <r>
    <n v="1941"/>
    <n v="14"/>
    <n v="4"/>
    <n v="2023"/>
    <s v="Friday"/>
    <x v="4"/>
    <n v="9"/>
    <n v="35533.800000000003"/>
    <s v="Sunil Das"/>
    <n v="56"/>
    <x v="1"/>
    <s v="Cash"/>
    <n v="4"/>
    <s v="iPhone 11"/>
  </r>
  <r>
    <n v="1942"/>
    <n v="14"/>
    <n v="4"/>
    <n v="2023"/>
    <s v="Friday"/>
    <x v="1"/>
    <n v="1"/>
    <n v="42969.37"/>
    <s v="Sunil Arora"/>
    <n v="18"/>
    <x v="10"/>
    <s v="Credit Card"/>
    <n v="2"/>
    <s v="Vivo S1"/>
  </r>
  <r>
    <n v="1943"/>
    <n v="15"/>
    <n v="4"/>
    <n v="2023"/>
    <s v="Saturday"/>
    <x v="1"/>
    <n v="2"/>
    <n v="50705.16"/>
    <s v="Priyanka Nambiar"/>
    <n v="58"/>
    <x v="10"/>
    <s v="Cash"/>
    <n v="4"/>
    <s v="Vivo V20"/>
  </r>
  <r>
    <n v="1944"/>
    <n v="15"/>
    <n v="4"/>
    <n v="2023"/>
    <s v="Saturday"/>
    <x v="2"/>
    <n v="4"/>
    <n v="46462.55"/>
    <s v="Reena Chatterjee"/>
    <n v="41"/>
    <x v="16"/>
    <s v="Debit Card"/>
    <n v="5"/>
    <s v="OnePlus Nord"/>
  </r>
  <r>
    <n v="1945"/>
    <n v="15"/>
    <n v="4"/>
    <n v="2023"/>
    <s v="Saturday"/>
    <x v="0"/>
    <n v="3"/>
    <n v="33638.67"/>
    <s v="Aditya Luthra"/>
    <n v="51"/>
    <x v="6"/>
    <s v="UPI"/>
    <n v="5"/>
    <s v="Redmi 9"/>
  </r>
  <r>
    <n v="1946"/>
    <n v="15"/>
    <n v="4"/>
    <n v="2023"/>
    <s v="Saturday"/>
    <x v="2"/>
    <n v="1"/>
    <n v="25918.79"/>
    <s v="Isha Reddy"/>
    <n v="51"/>
    <x v="11"/>
    <s v="UPI"/>
    <n v="4"/>
    <s v="OnePlus Nord"/>
  </r>
  <r>
    <n v="1947"/>
    <n v="16"/>
    <n v="4"/>
    <n v="2023"/>
    <s v="Sunday"/>
    <x v="2"/>
    <n v="5"/>
    <n v="20093.849999999999"/>
    <s v="Rajesh Verma"/>
    <n v="41"/>
    <x v="1"/>
    <s v="UPI"/>
    <n v="2"/>
    <s v="OnePlus Nord"/>
  </r>
  <r>
    <n v="1948"/>
    <n v="16"/>
    <n v="4"/>
    <n v="2023"/>
    <s v="Sunday"/>
    <x v="3"/>
    <n v="7"/>
    <n v="51630.720000000001"/>
    <s v="Manoj Kaur"/>
    <n v="32"/>
    <x v="0"/>
    <s v="Cash"/>
    <n v="5"/>
    <s v="Galaxy S21"/>
  </r>
  <r>
    <n v="1949"/>
    <n v="16"/>
    <n v="4"/>
    <n v="2023"/>
    <s v="Sunday"/>
    <x v="2"/>
    <n v="2"/>
    <n v="48723.92"/>
    <s v="Jyoti Jain"/>
    <n v="34"/>
    <x v="3"/>
    <s v="Debit Card"/>
    <n v="4"/>
    <s v="OnePlus 9"/>
  </r>
  <r>
    <n v="1950"/>
    <n v="17"/>
    <n v="4"/>
    <n v="2023"/>
    <s v="Monday"/>
    <x v="4"/>
    <n v="5"/>
    <n v="51242.35"/>
    <s v="Pankaj Shah"/>
    <n v="30"/>
    <x v="2"/>
    <s v="Credit Card"/>
    <n v="2"/>
    <s v="iPhone 12"/>
  </r>
  <r>
    <n v="1951"/>
    <n v="17"/>
    <n v="4"/>
    <n v="2023"/>
    <s v="Monday"/>
    <x v="4"/>
    <n v="6"/>
    <n v="32351.65"/>
    <s v="Priyanka Pillai"/>
    <n v="24"/>
    <x v="9"/>
    <s v="UPI"/>
    <n v="5"/>
    <s v="iPhone 11"/>
  </r>
  <r>
    <n v="1952"/>
    <n v="17"/>
    <n v="4"/>
    <n v="2023"/>
    <s v="Monday"/>
    <x v="3"/>
    <n v="7"/>
    <n v="25744.47"/>
    <s v="Tapan Bhattacharya"/>
    <n v="26"/>
    <x v="12"/>
    <s v="Cash"/>
    <n v="5"/>
    <s v="Galaxy A51"/>
  </r>
  <r>
    <n v="1953"/>
    <n v="17"/>
    <n v="4"/>
    <n v="2023"/>
    <s v="Monday"/>
    <x v="0"/>
    <n v="1"/>
    <n v="55583.28"/>
    <s v="Kiran Nair"/>
    <n v="52"/>
    <x v="1"/>
    <s v="UPI"/>
    <n v="1"/>
    <s v="Mi 11"/>
  </r>
  <r>
    <n v="1954"/>
    <n v="18"/>
    <n v="4"/>
    <n v="2023"/>
    <s v="Tuesday"/>
    <x v="0"/>
    <n v="7"/>
    <n v="56418.84"/>
    <s v="Sunil Kapoor"/>
    <n v="40"/>
    <x v="9"/>
    <s v="Debit Card"/>
    <n v="1"/>
    <s v="Redmi Note 10"/>
  </r>
  <r>
    <n v="1955"/>
    <n v="18"/>
    <n v="4"/>
    <n v="2023"/>
    <s v="Tuesday"/>
    <x v="2"/>
    <n v="4"/>
    <n v="37336.980000000003"/>
    <s v="Lalita Bhatnagar"/>
    <n v="56"/>
    <x v="13"/>
    <s v="Credit Card"/>
    <n v="5"/>
    <s v="OnePlus 9"/>
  </r>
  <r>
    <n v="1956"/>
    <n v="18"/>
    <n v="4"/>
    <n v="2023"/>
    <s v="Tuesday"/>
    <x v="2"/>
    <n v="8"/>
    <n v="46714.25"/>
    <s v="Anita Deshmukh"/>
    <n v="40"/>
    <x v="5"/>
    <s v="UPI"/>
    <n v="4"/>
    <s v="OnePlus 8T"/>
  </r>
  <r>
    <n v="1957"/>
    <n v="18"/>
    <n v="4"/>
    <n v="2023"/>
    <s v="Tuesday"/>
    <x v="2"/>
    <n v="4"/>
    <n v="32411.18"/>
    <s v="Tapan Rawat"/>
    <n v="43"/>
    <x v="17"/>
    <s v="Debit Card"/>
    <n v="1"/>
    <s v="OnePlus Nord"/>
  </r>
  <r>
    <n v="1958"/>
    <n v="19"/>
    <n v="4"/>
    <n v="2023"/>
    <s v="Wednesday"/>
    <x v="0"/>
    <n v="6"/>
    <n v="52116.83"/>
    <s v="Tapan Gupta"/>
    <n v="18"/>
    <x v="2"/>
    <s v="Cash"/>
    <n v="5"/>
    <s v="Redmi Note 10"/>
  </r>
  <r>
    <n v="1959"/>
    <n v="19"/>
    <n v="4"/>
    <n v="2023"/>
    <s v="Wednesday"/>
    <x v="1"/>
    <n v="9"/>
    <n v="60143.3"/>
    <s v="Anita Mishra"/>
    <n v="31"/>
    <x v="4"/>
    <s v="Debit Card"/>
    <n v="2"/>
    <s v="Vivo S1"/>
  </r>
  <r>
    <n v="1960"/>
    <n v="19"/>
    <n v="4"/>
    <n v="2023"/>
    <s v="Wednesday"/>
    <x v="4"/>
    <n v="5"/>
    <n v="51294"/>
    <s v="Tapan Rawat"/>
    <n v="49"/>
    <x v="18"/>
    <s v="Cash"/>
    <n v="4"/>
    <s v="iPhone SE"/>
  </r>
  <r>
    <n v="1961"/>
    <n v="19"/>
    <n v="4"/>
    <n v="2023"/>
    <s v="Wednesday"/>
    <x v="1"/>
    <n v="4"/>
    <n v="40754.959999999999"/>
    <s v="Pooja Srivastava"/>
    <n v="27"/>
    <x v="2"/>
    <s v="UPI"/>
    <n v="1"/>
    <s v="Vivo V20"/>
  </r>
  <r>
    <n v="1962"/>
    <n v="20"/>
    <n v="4"/>
    <n v="2023"/>
    <s v="Thursday"/>
    <x v="1"/>
    <n v="8"/>
    <n v="37519.480000000003"/>
    <s v="Vivek Srivastava"/>
    <n v="18"/>
    <x v="3"/>
    <s v="UPI"/>
    <n v="5"/>
    <s v="Vivo Y51"/>
  </r>
  <r>
    <n v="1963"/>
    <n v="20"/>
    <n v="4"/>
    <n v="2023"/>
    <s v="Thursday"/>
    <x v="0"/>
    <n v="9"/>
    <n v="48539.18"/>
    <s v="Arun Iyer"/>
    <n v="22"/>
    <x v="4"/>
    <s v="Debit Card"/>
    <n v="1"/>
    <s v="Redmi 9"/>
  </r>
  <r>
    <n v="1964"/>
    <n v="20"/>
    <n v="4"/>
    <n v="2023"/>
    <s v="Thursday"/>
    <x v="1"/>
    <n v="4"/>
    <n v="50788.65"/>
    <s v="Devendra Srivastava"/>
    <n v="20"/>
    <x v="0"/>
    <s v="Cash"/>
    <n v="2"/>
    <s v="Vivo Y51"/>
  </r>
  <r>
    <n v="1965"/>
    <n v="20"/>
    <n v="4"/>
    <n v="2023"/>
    <s v="Thursday"/>
    <x v="3"/>
    <n v="3"/>
    <n v="43523.77"/>
    <s v="Jyoti Pillai"/>
    <n v="44"/>
    <x v="2"/>
    <s v="Debit Card"/>
    <n v="4"/>
    <s v="Galaxy A51"/>
  </r>
  <r>
    <n v="1966"/>
    <n v="21"/>
    <n v="4"/>
    <n v="2023"/>
    <s v="Friday"/>
    <x v="2"/>
    <n v="8"/>
    <n v="47496.54"/>
    <s v="Pankaj Luthra"/>
    <n v="39"/>
    <x v="4"/>
    <s v="Debit Card"/>
    <n v="5"/>
    <s v="OnePlus Nord"/>
  </r>
  <r>
    <n v="1967"/>
    <n v="21"/>
    <n v="4"/>
    <n v="2023"/>
    <s v="Friday"/>
    <x v="3"/>
    <n v="5"/>
    <n v="15795.32"/>
    <s v="Bina Nair"/>
    <n v="35"/>
    <x v="3"/>
    <s v="UPI"/>
    <n v="2"/>
    <s v="Galaxy S21"/>
  </r>
  <r>
    <n v="1968"/>
    <n v="21"/>
    <n v="4"/>
    <n v="2023"/>
    <s v="Friday"/>
    <x v="4"/>
    <n v="2"/>
    <n v="67105.929999999993"/>
    <s v="Kiran Malhotra"/>
    <n v="33"/>
    <x v="2"/>
    <s v="UPI"/>
    <n v="4"/>
    <s v="iPhone 11"/>
  </r>
  <r>
    <n v="1969"/>
    <n v="21"/>
    <n v="4"/>
    <n v="2023"/>
    <s v="Friday"/>
    <x v="2"/>
    <n v="9"/>
    <n v="57446.38"/>
    <s v="Tanuja Dutta"/>
    <n v="19"/>
    <x v="2"/>
    <s v="UPI"/>
    <n v="5"/>
    <s v="OnePlus Nord"/>
  </r>
  <r>
    <n v="1970"/>
    <n v="22"/>
    <n v="4"/>
    <n v="2023"/>
    <s v="Saturday"/>
    <x v="1"/>
    <n v="3"/>
    <n v="32435.67"/>
    <s v="Devendra Singh"/>
    <n v="30"/>
    <x v="9"/>
    <s v="Debit Card"/>
    <n v="4"/>
    <s v="Vivo Y51"/>
  </r>
  <r>
    <n v="1971"/>
    <n v="22"/>
    <n v="4"/>
    <n v="2023"/>
    <s v="Saturday"/>
    <x v="4"/>
    <n v="2"/>
    <n v="43768.76"/>
    <s v="Kavita Srivastava"/>
    <n v="33"/>
    <x v="14"/>
    <s v="Debit Card"/>
    <n v="4"/>
    <s v="iPhone SE"/>
  </r>
  <r>
    <n v="1972"/>
    <n v="22"/>
    <n v="4"/>
    <n v="2023"/>
    <s v="Saturday"/>
    <x v="2"/>
    <n v="1"/>
    <n v="12839.47"/>
    <s v="Anjali Nambiar"/>
    <n v="25"/>
    <x v="7"/>
    <s v="Credit Card"/>
    <n v="5"/>
    <s v="OnePlus 8T"/>
  </r>
  <r>
    <n v="1973"/>
    <n v="22"/>
    <n v="4"/>
    <n v="2023"/>
    <s v="Saturday"/>
    <x v="1"/>
    <n v="8"/>
    <n v="12473.67"/>
    <s v="Lata Mathur"/>
    <n v="25"/>
    <x v="16"/>
    <s v="Credit Card"/>
    <n v="5"/>
    <s v="Vivo Y51"/>
  </r>
  <r>
    <n v="1974"/>
    <n v="23"/>
    <n v="4"/>
    <n v="2023"/>
    <s v="Sunday"/>
    <x v="3"/>
    <n v="3"/>
    <n v="25047.9"/>
    <s v="Deepika Menon"/>
    <n v="27"/>
    <x v="7"/>
    <s v="Debit Card"/>
    <n v="2"/>
    <s v="Galaxy S21"/>
  </r>
  <r>
    <n v="1975"/>
    <n v="23"/>
    <n v="4"/>
    <n v="2023"/>
    <s v="Sunday"/>
    <x v="2"/>
    <n v="7"/>
    <n v="51382.1"/>
    <s v="Vivek Teja"/>
    <n v="50"/>
    <x v="18"/>
    <s v="Credit Card"/>
    <n v="1"/>
    <s v="OnePlus Nord"/>
  </r>
  <r>
    <n v="1976"/>
    <n v="23"/>
    <n v="4"/>
    <n v="2023"/>
    <s v="Sunday"/>
    <x v="1"/>
    <n v="1"/>
    <n v="61128.86"/>
    <s v="Reena Sheth"/>
    <n v="48"/>
    <x v="7"/>
    <s v="Debit Card"/>
    <n v="5"/>
    <s v="Vivo S1"/>
  </r>
  <r>
    <n v="1977"/>
    <n v="24"/>
    <n v="4"/>
    <n v="2023"/>
    <s v="Monday"/>
    <x v="3"/>
    <n v="1"/>
    <n v="43551.15"/>
    <s v="Prashant Mathur"/>
    <n v="29"/>
    <x v="1"/>
    <s v="UPI"/>
    <n v="4"/>
    <s v="Galaxy A51"/>
  </r>
  <r>
    <n v="1978"/>
    <n v="24"/>
    <n v="4"/>
    <n v="2023"/>
    <s v="Monday"/>
    <x v="4"/>
    <n v="9"/>
    <n v="41927.96"/>
    <s v="Pankaj Teja"/>
    <n v="26"/>
    <x v="1"/>
    <s v="Cash"/>
    <n v="5"/>
    <s v="iPhone SE"/>
  </r>
  <r>
    <n v="1979"/>
    <n v="24"/>
    <n v="4"/>
    <n v="2023"/>
    <s v="Monday"/>
    <x v="4"/>
    <n v="8"/>
    <n v="34138.57"/>
    <s v="Pankaj Kapoor"/>
    <n v="54"/>
    <x v="0"/>
    <s v="UPI"/>
    <n v="5"/>
    <s v="iPhone 12"/>
  </r>
  <r>
    <n v="1980"/>
    <n v="25"/>
    <n v="4"/>
    <n v="2023"/>
    <s v="Tuesday"/>
    <x v="4"/>
    <n v="3"/>
    <n v="19695.88"/>
    <s v="Harish Joshi"/>
    <n v="26"/>
    <x v="11"/>
    <s v="Debit Card"/>
    <n v="5"/>
    <s v="iPhone 12"/>
  </r>
  <r>
    <n v="1981"/>
    <n v="25"/>
    <n v="4"/>
    <n v="2023"/>
    <s v="Tuesday"/>
    <x v="4"/>
    <n v="6"/>
    <n v="17101.25"/>
    <s v="Ramesh Rao"/>
    <n v="35"/>
    <x v="1"/>
    <s v="UPI"/>
    <n v="5"/>
    <s v="iPhone SE"/>
  </r>
  <r>
    <n v="1982"/>
    <n v="25"/>
    <n v="4"/>
    <n v="2023"/>
    <s v="Tuesday"/>
    <x v="0"/>
    <n v="3"/>
    <n v="55640.79"/>
    <s v="Vinod Joshi"/>
    <n v="47"/>
    <x v="1"/>
    <s v="Debit Card"/>
    <n v="4"/>
    <s v="Mi 11"/>
  </r>
  <r>
    <n v="1983"/>
    <n v="26"/>
    <n v="4"/>
    <n v="2023"/>
    <s v="Wednesday"/>
    <x v="2"/>
    <n v="4"/>
    <n v="65650.210000000006"/>
    <s v="Navin Solanki"/>
    <n v="49"/>
    <x v="13"/>
    <s v="Debit Card"/>
    <n v="2"/>
    <s v="OnePlus 9"/>
  </r>
  <r>
    <n v="1984"/>
    <n v="26"/>
    <n v="4"/>
    <n v="2023"/>
    <s v="Wednesday"/>
    <x v="2"/>
    <n v="1"/>
    <n v="37496.99"/>
    <s v="Gita Teja"/>
    <n v="57"/>
    <x v="1"/>
    <s v="Credit Card"/>
    <n v="1"/>
    <s v="OnePlus 8T"/>
  </r>
  <r>
    <n v="1985"/>
    <n v="26"/>
    <n v="4"/>
    <n v="2023"/>
    <s v="Wednesday"/>
    <x v="0"/>
    <n v="5"/>
    <n v="49566.74"/>
    <s v="Harish Malhotra"/>
    <n v="40"/>
    <x v="10"/>
    <s v="Debit Card"/>
    <n v="4"/>
    <s v="Mi 11"/>
  </r>
  <r>
    <n v="1986"/>
    <n v="26"/>
    <n v="4"/>
    <n v="2023"/>
    <s v="Wednesday"/>
    <x v="1"/>
    <n v="1"/>
    <n v="64867.46"/>
    <s v="Tapan Ahuja"/>
    <n v="28"/>
    <x v="16"/>
    <s v="Cash"/>
    <n v="4"/>
    <s v="Vivo Y51"/>
  </r>
  <r>
    <n v="1987"/>
    <n v="27"/>
    <n v="4"/>
    <n v="2023"/>
    <s v="Thursday"/>
    <x v="1"/>
    <n v="1"/>
    <n v="15406.82"/>
    <s v="Neeta Kumar"/>
    <n v="37"/>
    <x v="1"/>
    <s v="Credit Card"/>
    <n v="4"/>
    <s v="Vivo S1"/>
  </r>
  <r>
    <n v="1988"/>
    <n v="27"/>
    <n v="4"/>
    <n v="2023"/>
    <s v="Thursday"/>
    <x v="4"/>
    <n v="7"/>
    <n v="56228.89"/>
    <s v="Kiran Jain"/>
    <n v="36"/>
    <x v="2"/>
    <s v="Cash"/>
    <n v="1"/>
    <s v="iPhone 12"/>
  </r>
  <r>
    <n v="1989"/>
    <n v="27"/>
    <n v="4"/>
    <n v="2023"/>
    <s v="Thursday"/>
    <x v="3"/>
    <n v="6"/>
    <n v="47009.01"/>
    <s v="Vijay Das"/>
    <n v="53"/>
    <x v="12"/>
    <s v="Debit Card"/>
    <n v="2"/>
    <s v="Galaxy A51"/>
  </r>
  <r>
    <n v="1990"/>
    <n v="27"/>
    <n v="4"/>
    <n v="2023"/>
    <s v="Thursday"/>
    <x v="1"/>
    <n v="2"/>
    <n v="45918.23"/>
    <s v="Meena Chatterjee"/>
    <n v="43"/>
    <x v="1"/>
    <s v="UPI"/>
    <n v="2"/>
    <s v="Vivo Y51"/>
  </r>
  <r>
    <n v="1991"/>
    <n v="28"/>
    <n v="4"/>
    <n v="2023"/>
    <s v="Friday"/>
    <x v="3"/>
    <n v="2"/>
    <n v="27552.43"/>
    <s v="Devendra Rao"/>
    <n v="27"/>
    <x v="1"/>
    <s v="Debit Card"/>
    <n v="4"/>
    <s v="Galaxy A51"/>
  </r>
  <r>
    <n v="1992"/>
    <n v="28"/>
    <n v="4"/>
    <n v="2023"/>
    <s v="Friday"/>
    <x v="2"/>
    <n v="7"/>
    <n v="51033.599999999999"/>
    <s v="Monika Goyal"/>
    <n v="41"/>
    <x v="1"/>
    <s v="Debit Card"/>
    <n v="4"/>
    <s v="OnePlus 8T"/>
  </r>
  <r>
    <n v="1993"/>
    <n v="28"/>
    <n v="4"/>
    <n v="2023"/>
    <s v="Friday"/>
    <x v="3"/>
    <n v="1"/>
    <n v="57687.87"/>
    <s v="Anand Joshi"/>
    <n v="30"/>
    <x v="8"/>
    <s v="UPI"/>
    <n v="4"/>
    <s v="Galaxy A51"/>
  </r>
  <r>
    <n v="1994"/>
    <n v="28"/>
    <n v="4"/>
    <n v="2023"/>
    <s v="Friday"/>
    <x v="2"/>
    <n v="2"/>
    <n v="16771.490000000002"/>
    <s v="Anjali Kulkarni"/>
    <n v="51"/>
    <x v="1"/>
    <s v="UPI"/>
    <n v="2"/>
    <s v="OnePlus Nord"/>
  </r>
  <r>
    <n v="1995"/>
    <n v="29"/>
    <n v="4"/>
    <n v="2023"/>
    <s v="Saturday"/>
    <x v="0"/>
    <n v="8"/>
    <n v="42011.29"/>
    <s v="Reena Sharma"/>
    <n v="46"/>
    <x v="9"/>
    <s v="Cash"/>
    <n v="2"/>
    <s v="Redmi Note 10"/>
  </r>
  <r>
    <n v="1996"/>
    <n v="29"/>
    <n v="4"/>
    <n v="2023"/>
    <s v="Saturday"/>
    <x v="0"/>
    <n v="6"/>
    <n v="16075.91"/>
    <s v="Nikhil Solanki"/>
    <n v="53"/>
    <x v="9"/>
    <s v="Credit Card"/>
    <n v="2"/>
    <s v="Redmi Note 10"/>
  </r>
  <r>
    <n v="1997"/>
    <n v="29"/>
    <n v="4"/>
    <n v="2023"/>
    <s v="Saturday"/>
    <x v="4"/>
    <n v="2"/>
    <n v="62354.44"/>
    <s v="Kiran Siddiqui"/>
    <n v="24"/>
    <x v="2"/>
    <s v="Credit Card"/>
    <n v="4"/>
    <s v="iPhone 11"/>
  </r>
  <r>
    <n v="1998"/>
    <n v="29"/>
    <n v="4"/>
    <n v="2023"/>
    <s v="Saturday"/>
    <x v="1"/>
    <n v="7"/>
    <n v="40458.199999999997"/>
    <s v="Priya Bhattacharya"/>
    <n v="47"/>
    <x v="18"/>
    <s v="Credit Card"/>
    <n v="2"/>
    <s v="Vivo Y51"/>
  </r>
  <r>
    <n v="1999"/>
    <n v="30"/>
    <n v="4"/>
    <n v="2023"/>
    <s v="Sunday"/>
    <x v="4"/>
    <n v="4"/>
    <n v="58477.94"/>
    <s v="Aditya Rao"/>
    <n v="34"/>
    <x v="2"/>
    <s v="Cash"/>
    <n v="5"/>
    <s v="iPhone 11"/>
  </r>
  <r>
    <n v="2000"/>
    <n v="30"/>
    <n v="4"/>
    <n v="2023"/>
    <s v="Sunday"/>
    <x v="2"/>
    <n v="2"/>
    <n v="32085.14"/>
    <s v="Monika Patel"/>
    <n v="30"/>
    <x v="12"/>
    <s v="Cash"/>
    <n v="4"/>
    <s v="OnePlus Nord"/>
  </r>
  <r>
    <n v="2001"/>
    <n v="30"/>
    <n v="4"/>
    <n v="2023"/>
    <s v="Sunday"/>
    <x v="4"/>
    <n v="6"/>
    <n v="17504.689999999999"/>
    <s v="Deepika Prasad"/>
    <n v="41"/>
    <x v="2"/>
    <s v="UPI"/>
    <n v="4"/>
    <s v="iPhone 11"/>
  </r>
  <r>
    <n v="2002"/>
    <n v="1"/>
    <n v="5"/>
    <n v="2023"/>
    <s v="Monday"/>
    <x v="3"/>
    <n v="9"/>
    <n v="12489.96"/>
    <s v="Umesh Bhattacharya"/>
    <n v="48"/>
    <x v="16"/>
    <s v="Credit Card"/>
    <n v="4"/>
    <s v="Galaxy S21"/>
  </r>
  <r>
    <n v="2003"/>
    <n v="1"/>
    <n v="5"/>
    <n v="2023"/>
    <s v="Monday"/>
    <x v="2"/>
    <n v="9"/>
    <n v="26890.58"/>
    <s v="Arun Kumar"/>
    <n v="44"/>
    <x v="14"/>
    <s v="Debit Card"/>
    <n v="4"/>
    <s v="OnePlus 8T"/>
  </r>
  <r>
    <n v="2004"/>
    <n v="1"/>
    <n v="5"/>
    <n v="2023"/>
    <s v="Monday"/>
    <x v="0"/>
    <n v="8"/>
    <n v="24654.02"/>
    <s v="Arun Goyal"/>
    <n v="38"/>
    <x v="1"/>
    <s v="Cash"/>
    <n v="5"/>
    <s v="Mi 11"/>
  </r>
  <r>
    <n v="2005"/>
    <n v="2"/>
    <n v="5"/>
    <n v="2023"/>
    <s v="Tuesday"/>
    <x v="1"/>
    <n v="3"/>
    <n v="43621.120000000003"/>
    <s v="Lalita Bhatnagar"/>
    <n v="18"/>
    <x v="13"/>
    <s v="Debit Card"/>
    <n v="1"/>
    <s v="Vivo S1"/>
  </r>
  <r>
    <n v="2006"/>
    <n v="2"/>
    <n v="5"/>
    <n v="2023"/>
    <s v="Tuesday"/>
    <x v="2"/>
    <n v="3"/>
    <n v="11304.33"/>
    <s v="Ramesh Srivastava"/>
    <n v="32"/>
    <x v="2"/>
    <s v="Credit Card"/>
    <n v="2"/>
    <s v="OnePlus 9"/>
  </r>
  <r>
    <n v="2007"/>
    <n v="2"/>
    <n v="5"/>
    <n v="2023"/>
    <s v="Tuesday"/>
    <x v="2"/>
    <n v="2"/>
    <n v="41234.230000000003"/>
    <s v="Priya Roy"/>
    <n v="20"/>
    <x v="10"/>
    <s v="Credit Card"/>
    <n v="4"/>
    <s v="OnePlus 8T"/>
  </r>
  <r>
    <n v="2008"/>
    <n v="2"/>
    <n v="5"/>
    <n v="2023"/>
    <s v="Tuesday"/>
    <x v="3"/>
    <n v="5"/>
    <n v="33506.300000000003"/>
    <s v="Bhavana Rawat"/>
    <n v="23"/>
    <x v="18"/>
    <s v="Cash"/>
    <n v="2"/>
    <s v="Galaxy S21"/>
  </r>
  <r>
    <n v="2009"/>
    <n v="3"/>
    <n v="5"/>
    <n v="2023"/>
    <s v="Wednesday"/>
    <x v="1"/>
    <n v="4"/>
    <n v="44627.34"/>
    <s v="Devendra Arora"/>
    <n v="31"/>
    <x v="13"/>
    <s v="Cash"/>
    <n v="2"/>
    <s v="Vivo Y51"/>
  </r>
  <r>
    <n v="2010"/>
    <n v="3"/>
    <n v="5"/>
    <n v="2023"/>
    <s v="Wednesday"/>
    <x v="0"/>
    <n v="7"/>
    <n v="52145.05"/>
    <s v="Prashant Gupta"/>
    <n v="55"/>
    <x v="18"/>
    <s v="UPI"/>
    <n v="5"/>
    <s v="Redmi Note 10"/>
  </r>
  <r>
    <n v="2011"/>
    <n v="3"/>
    <n v="5"/>
    <n v="2023"/>
    <s v="Wednesday"/>
    <x v="2"/>
    <n v="4"/>
    <n v="48045.52"/>
    <s v="Namita Sheth"/>
    <n v="50"/>
    <x v="4"/>
    <s v="Debit Card"/>
    <n v="2"/>
    <s v="OnePlus 8T"/>
  </r>
  <r>
    <n v="2012"/>
    <n v="4"/>
    <n v="5"/>
    <n v="2023"/>
    <s v="Thursday"/>
    <x v="2"/>
    <n v="9"/>
    <n v="69078.66"/>
    <s v="Kiran Prasad"/>
    <n v="55"/>
    <x v="17"/>
    <s v="UPI"/>
    <n v="4"/>
    <s v="OnePlus 8T"/>
  </r>
  <r>
    <n v="2013"/>
    <n v="4"/>
    <n v="5"/>
    <n v="2023"/>
    <s v="Thursday"/>
    <x v="3"/>
    <n v="2"/>
    <n v="18295.919999999998"/>
    <s v="Reena Srivastava"/>
    <n v="25"/>
    <x v="11"/>
    <s v="UPI"/>
    <n v="2"/>
    <s v="Galaxy A51"/>
  </r>
  <r>
    <n v="2014"/>
    <n v="4"/>
    <n v="5"/>
    <n v="2023"/>
    <s v="Thursday"/>
    <x v="4"/>
    <n v="6"/>
    <n v="35784.22"/>
    <s v="Rohan Goyal"/>
    <n v="43"/>
    <x v="3"/>
    <s v="Debit Card"/>
    <n v="5"/>
    <s v="iPhone SE"/>
  </r>
  <r>
    <n v="2015"/>
    <n v="5"/>
    <n v="5"/>
    <n v="2023"/>
    <s v="Friday"/>
    <x v="0"/>
    <n v="7"/>
    <n v="35489.839999999997"/>
    <s v="Sneha Deshmukh"/>
    <n v="32"/>
    <x v="18"/>
    <s v="Credit Card"/>
    <n v="4"/>
    <s v="Redmi Note 10"/>
  </r>
  <r>
    <n v="2016"/>
    <n v="5"/>
    <n v="5"/>
    <n v="2023"/>
    <s v="Friday"/>
    <x v="1"/>
    <n v="4"/>
    <n v="35023.19"/>
    <s v="Radha Rao"/>
    <n v="31"/>
    <x v="14"/>
    <s v="Debit Card"/>
    <n v="5"/>
    <s v="Vivo V20"/>
  </r>
  <r>
    <n v="2017"/>
    <n v="5"/>
    <n v="5"/>
    <n v="2023"/>
    <s v="Friday"/>
    <x v="2"/>
    <n v="6"/>
    <n v="49827.9"/>
    <s v="Vivek Luthra"/>
    <n v="37"/>
    <x v="1"/>
    <s v="Credit Card"/>
    <n v="4"/>
    <s v="OnePlus 9"/>
  </r>
  <r>
    <n v="2018"/>
    <n v="5"/>
    <n v="5"/>
    <n v="2023"/>
    <s v="Friday"/>
    <x v="2"/>
    <n v="7"/>
    <n v="39389.68"/>
    <s v="Shruti Chaudhary"/>
    <n v="36"/>
    <x v="1"/>
    <s v="UPI"/>
    <n v="1"/>
    <s v="OnePlus 9"/>
  </r>
  <r>
    <n v="2019"/>
    <n v="6"/>
    <n v="5"/>
    <n v="2023"/>
    <s v="Saturday"/>
    <x v="0"/>
    <n v="4"/>
    <n v="41045.949999999997"/>
    <s v="Meena Kumar"/>
    <n v="50"/>
    <x v="9"/>
    <s v="Credit Card"/>
    <n v="2"/>
    <s v="Redmi 9"/>
  </r>
  <r>
    <n v="2020"/>
    <n v="6"/>
    <n v="5"/>
    <n v="2023"/>
    <s v="Saturday"/>
    <x v="4"/>
    <n v="8"/>
    <n v="35941.360000000001"/>
    <s v="Amit Srivastava"/>
    <n v="53"/>
    <x v="11"/>
    <s v="Credit Card"/>
    <n v="2"/>
    <s v="iPhone 12"/>
  </r>
  <r>
    <n v="2021"/>
    <n v="6"/>
    <n v="5"/>
    <n v="2023"/>
    <s v="Saturday"/>
    <x v="2"/>
    <n v="9"/>
    <n v="69501.97"/>
    <s v="Anjali Jain"/>
    <n v="41"/>
    <x v="13"/>
    <s v="Credit Card"/>
    <n v="2"/>
    <s v="OnePlus 8T"/>
  </r>
  <r>
    <n v="2022"/>
    <n v="7"/>
    <n v="5"/>
    <n v="2023"/>
    <s v="Sunday"/>
    <x v="0"/>
    <n v="1"/>
    <n v="65653.679999999993"/>
    <s v="Pooja Sharma"/>
    <n v="27"/>
    <x v="5"/>
    <s v="Debit Card"/>
    <n v="4"/>
    <s v="Mi 11"/>
  </r>
  <r>
    <n v="2023"/>
    <n v="7"/>
    <n v="5"/>
    <n v="2023"/>
    <s v="Sunday"/>
    <x v="3"/>
    <n v="7"/>
    <n v="28463.45"/>
    <s v="Aditya Rao"/>
    <n v="51"/>
    <x v="8"/>
    <s v="Credit Card"/>
    <n v="1"/>
    <s v="Galaxy Note 20"/>
  </r>
  <r>
    <n v="2024"/>
    <n v="7"/>
    <n v="5"/>
    <n v="2023"/>
    <s v="Sunday"/>
    <x v="4"/>
    <n v="9"/>
    <n v="16695.64"/>
    <s v="Isha Desai"/>
    <n v="53"/>
    <x v="2"/>
    <s v="Debit Card"/>
    <n v="5"/>
    <s v="iPhone SE"/>
  </r>
  <r>
    <n v="2025"/>
    <n v="7"/>
    <n v="5"/>
    <n v="2023"/>
    <s v="Sunday"/>
    <x v="1"/>
    <n v="5"/>
    <n v="60385.88"/>
    <s v="Shruti Alva"/>
    <n v="53"/>
    <x v="11"/>
    <s v="Cash"/>
    <n v="4"/>
    <s v="Vivo V20"/>
  </r>
  <r>
    <n v="2026"/>
    <n v="8"/>
    <n v="5"/>
    <n v="2023"/>
    <s v="Monday"/>
    <x v="2"/>
    <n v="2"/>
    <n v="69830.22"/>
    <s v="Krishna Goyal"/>
    <n v="33"/>
    <x v="3"/>
    <s v="Cash"/>
    <n v="4"/>
    <s v="OnePlus 8T"/>
  </r>
  <r>
    <n v="2027"/>
    <n v="8"/>
    <n v="5"/>
    <n v="2023"/>
    <s v="Monday"/>
    <x v="0"/>
    <n v="6"/>
    <n v="27556.53"/>
    <s v="Lalita Bhatnagar"/>
    <n v="32"/>
    <x v="8"/>
    <s v="UPI"/>
    <n v="4"/>
    <s v="Mi 11"/>
  </r>
  <r>
    <n v="2028"/>
    <n v="8"/>
    <n v="5"/>
    <n v="2023"/>
    <s v="Monday"/>
    <x v="3"/>
    <n v="7"/>
    <n v="31467.1"/>
    <s v="Manoj Jain"/>
    <n v="35"/>
    <x v="2"/>
    <s v="UPI"/>
    <n v="4"/>
    <s v="Galaxy A51"/>
  </r>
  <r>
    <n v="2029"/>
    <n v="9"/>
    <n v="5"/>
    <n v="2023"/>
    <s v="Tuesday"/>
    <x v="1"/>
    <n v="2"/>
    <n v="66497.990000000005"/>
    <s v="Pooja Ahuja"/>
    <n v="24"/>
    <x v="1"/>
    <s v="Debit Card"/>
    <n v="4"/>
    <s v="Vivo S1"/>
  </r>
  <r>
    <n v="2030"/>
    <n v="9"/>
    <n v="5"/>
    <n v="2023"/>
    <s v="Tuesday"/>
    <x v="0"/>
    <n v="2"/>
    <n v="52667.77"/>
    <s v="Sumit Roy"/>
    <n v="39"/>
    <x v="15"/>
    <s v="Credit Card"/>
    <n v="2"/>
    <s v="Redmi 9"/>
  </r>
  <r>
    <n v="2031"/>
    <n v="9"/>
    <n v="5"/>
    <n v="2023"/>
    <s v="Tuesday"/>
    <x v="0"/>
    <n v="1"/>
    <n v="27738.3"/>
    <s v="Prashant Gupta"/>
    <n v="49"/>
    <x v="1"/>
    <s v="Credit Card"/>
    <n v="4"/>
    <s v="Mi 11"/>
  </r>
  <r>
    <n v="2032"/>
    <n v="9"/>
    <n v="5"/>
    <n v="2023"/>
    <s v="Tuesday"/>
    <x v="1"/>
    <n v="4"/>
    <n v="44862.79"/>
    <s v="Gita Rathod"/>
    <n v="36"/>
    <x v="8"/>
    <s v="Cash"/>
    <n v="5"/>
    <s v="Vivo S1"/>
  </r>
  <r>
    <n v="2033"/>
    <n v="10"/>
    <n v="5"/>
    <n v="2023"/>
    <s v="Wednesday"/>
    <x v="3"/>
    <n v="7"/>
    <n v="66653.77"/>
    <s v="Arun Prasad"/>
    <n v="57"/>
    <x v="9"/>
    <s v="Debit Card"/>
    <n v="1"/>
    <s v="Galaxy Note 20"/>
  </r>
  <r>
    <n v="2034"/>
    <n v="10"/>
    <n v="5"/>
    <n v="2023"/>
    <s v="Wednesday"/>
    <x v="3"/>
    <n v="9"/>
    <n v="58708.79"/>
    <s v="Manoj Chatterjee"/>
    <n v="18"/>
    <x v="9"/>
    <s v="Credit Card"/>
    <n v="5"/>
    <s v="Galaxy S21"/>
  </r>
  <r>
    <n v="2035"/>
    <n v="10"/>
    <n v="5"/>
    <n v="2023"/>
    <s v="Wednesday"/>
    <x v="4"/>
    <n v="3"/>
    <n v="54509.96"/>
    <s v="Rohan Gupta"/>
    <n v="52"/>
    <x v="17"/>
    <s v="Credit Card"/>
    <n v="4"/>
    <s v="iPhone 11"/>
  </r>
  <r>
    <n v="2036"/>
    <n v="10"/>
    <n v="5"/>
    <n v="2023"/>
    <s v="Wednesday"/>
    <x v="2"/>
    <n v="7"/>
    <n v="54219.78"/>
    <s v="Kiran Chaudhary"/>
    <n v="22"/>
    <x v="2"/>
    <s v="Debit Card"/>
    <n v="2"/>
    <s v="OnePlus 9"/>
  </r>
  <r>
    <n v="2037"/>
    <n v="11"/>
    <n v="5"/>
    <n v="2023"/>
    <s v="Thursday"/>
    <x v="1"/>
    <n v="7"/>
    <n v="20681.22"/>
    <s v="Kavita Siddiqui"/>
    <n v="29"/>
    <x v="2"/>
    <s v="UPI"/>
    <n v="1"/>
    <s v="Vivo Y51"/>
  </r>
  <r>
    <n v="2038"/>
    <n v="11"/>
    <n v="5"/>
    <n v="2023"/>
    <s v="Thursday"/>
    <x v="1"/>
    <n v="7"/>
    <n v="59480.87"/>
    <s v="Deepika Dutta"/>
    <n v="29"/>
    <x v="5"/>
    <s v="Debit Card"/>
    <n v="5"/>
    <s v="Vivo V20"/>
  </r>
  <r>
    <n v="2039"/>
    <n v="11"/>
    <n v="5"/>
    <n v="2023"/>
    <s v="Thursday"/>
    <x v="1"/>
    <n v="2"/>
    <n v="26567.119999999999"/>
    <s v="Radha Kulkarni"/>
    <n v="38"/>
    <x v="1"/>
    <s v="Debit Card"/>
    <n v="1"/>
    <s v="Vivo Y51"/>
  </r>
  <r>
    <n v="2040"/>
    <n v="11"/>
    <n v="5"/>
    <n v="2023"/>
    <s v="Thursday"/>
    <x v="3"/>
    <n v="6"/>
    <n v="65822"/>
    <s v="Meena Mathur"/>
    <n v="36"/>
    <x v="17"/>
    <s v="Credit Card"/>
    <n v="1"/>
    <s v="Galaxy Note 20"/>
  </r>
  <r>
    <n v="2041"/>
    <n v="12"/>
    <n v="5"/>
    <n v="2023"/>
    <s v="Friday"/>
    <x v="2"/>
    <n v="2"/>
    <n v="31878.400000000001"/>
    <s v="Rohan Menon"/>
    <n v="26"/>
    <x v="2"/>
    <s v="Cash"/>
    <n v="1"/>
    <s v="OnePlus 8T"/>
  </r>
  <r>
    <n v="2042"/>
    <n v="12"/>
    <n v="5"/>
    <n v="2023"/>
    <s v="Friday"/>
    <x v="4"/>
    <n v="6"/>
    <n v="61459.62"/>
    <s v="Sneha Thakur"/>
    <n v="53"/>
    <x v="3"/>
    <s v="Credit Card"/>
    <n v="4"/>
    <s v="iPhone 11"/>
  </r>
  <r>
    <n v="2043"/>
    <n v="12"/>
    <n v="5"/>
    <n v="2023"/>
    <s v="Friday"/>
    <x v="0"/>
    <n v="3"/>
    <n v="25974.01"/>
    <s v="Manoj Pathak"/>
    <n v="59"/>
    <x v="1"/>
    <s v="Credit Card"/>
    <n v="4"/>
    <s v="Redmi 9"/>
  </r>
  <r>
    <n v="2044"/>
    <n v="12"/>
    <n v="5"/>
    <n v="2023"/>
    <s v="Friday"/>
    <x v="0"/>
    <n v="2"/>
    <n v="40871.620000000003"/>
    <s v="Priyanka Teja"/>
    <n v="49"/>
    <x v="17"/>
    <s v="Credit Card"/>
    <n v="4"/>
    <s v="Mi 11"/>
  </r>
  <r>
    <n v="2045"/>
    <n v="13"/>
    <n v="5"/>
    <n v="2023"/>
    <s v="Saturday"/>
    <x v="1"/>
    <n v="6"/>
    <n v="16413.12"/>
    <s v="Kiran Nair"/>
    <n v="52"/>
    <x v="1"/>
    <s v="Debit Card"/>
    <n v="2"/>
    <s v="Vivo Y51"/>
  </r>
  <r>
    <n v="2046"/>
    <n v="13"/>
    <n v="5"/>
    <n v="2023"/>
    <s v="Saturday"/>
    <x v="2"/>
    <n v="2"/>
    <n v="49607.13"/>
    <s v="Rohan Kapoor"/>
    <n v="48"/>
    <x v="9"/>
    <s v="Debit Card"/>
    <n v="5"/>
    <s v="OnePlus Nord"/>
  </r>
  <r>
    <n v="2047"/>
    <n v="13"/>
    <n v="5"/>
    <n v="2023"/>
    <s v="Saturday"/>
    <x v="3"/>
    <n v="5"/>
    <n v="60164.76"/>
    <s v="Bina Das"/>
    <n v="49"/>
    <x v="1"/>
    <s v="Credit Card"/>
    <n v="2"/>
    <s v="Galaxy A51"/>
  </r>
  <r>
    <n v="2048"/>
    <n v="14"/>
    <n v="5"/>
    <n v="2023"/>
    <s v="Sunday"/>
    <x v="2"/>
    <n v="2"/>
    <n v="53106.84"/>
    <s v="Yogesh Luthra"/>
    <n v="54"/>
    <x v="1"/>
    <s v="Credit Card"/>
    <n v="5"/>
    <s v="OnePlus Nord"/>
  </r>
  <r>
    <n v="2049"/>
    <n v="14"/>
    <n v="5"/>
    <n v="2023"/>
    <s v="Sunday"/>
    <x v="2"/>
    <n v="3"/>
    <n v="41395.51"/>
    <s v="Mala Goyal"/>
    <n v="49"/>
    <x v="6"/>
    <s v="Cash"/>
    <n v="1"/>
    <s v="OnePlus Nord"/>
  </r>
  <r>
    <n v="2050"/>
    <n v="14"/>
    <n v="5"/>
    <n v="2023"/>
    <s v="Sunday"/>
    <x v="3"/>
    <n v="3"/>
    <n v="12706.95"/>
    <s v="Sachin Shah"/>
    <n v="54"/>
    <x v="2"/>
    <s v="UPI"/>
    <n v="5"/>
    <s v="Galaxy A51"/>
  </r>
  <r>
    <n v="2051"/>
    <n v="14"/>
    <n v="5"/>
    <n v="2023"/>
    <s v="Sunday"/>
    <x v="1"/>
    <n v="6"/>
    <n v="66006.460000000006"/>
    <s v="Aditya Nair"/>
    <n v="56"/>
    <x v="1"/>
    <s v="Credit Card"/>
    <n v="5"/>
    <s v="Vivo S1"/>
  </r>
  <r>
    <n v="2052"/>
    <n v="15"/>
    <n v="5"/>
    <n v="2023"/>
    <s v="Monday"/>
    <x v="2"/>
    <n v="6"/>
    <n v="52329.37"/>
    <s v="Neeta Sharma"/>
    <n v="55"/>
    <x v="10"/>
    <s v="Debit Card"/>
    <n v="1"/>
    <s v="OnePlus Nord"/>
  </r>
  <r>
    <n v="2053"/>
    <n v="15"/>
    <n v="5"/>
    <n v="2023"/>
    <s v="Monday"/>
    <x v="0"/>
    <n v="3"/>
    <n v="54751.85"/>
    <s v="Ramesh Kumar"/>
    <n v="47"/>
    <x v="18"/>
    <s v="UPI"/>
    <n v="2"/>
    <s v="Redmi 9"/>
  </r>
  <r>
    <n v="2054"/>
    <n v="15"/>
    <n v="5"/>
    <n v="2023"/>
    <s v="Monday"/>
    <x v="3"/>
    <n v="3"/>
    <n v="57680.83"/>
    <s v="Shruti Roy"/>
    <n v="49"/>
    <x v="2"/>
    <s v="UPI"/>
    <n v="5"/>
    <s v="Galaxy A51"/>
  </r>
  <r>
    <n v="2055"/>
    <n v="15"/>
    <n v="5"/>
    <n v="2023"/>
    <s v="Monday"/>
    <x v="4"/>
    <n v="1"/>
    <n v="54864.61"/>
    <s v="Neeta Mathur"/>
    <n v="19"/>
    <x v="2"/>
    <s v="Cash"/>
    <n v="2"/>
    <s v="iPhone SE"/>
  </r>
  <r>
    <n v="2056"/>
    <n v="16"/>
    <n v="5"/>
    <n v="2023"/>
    <s v="Tuesday"/>
    <x v="1"/>
    <n v="7"/>
    <n v="36466.97"/>
    <s v="Yogesh Luthra"/>
    <n v="28"/>
    <x v="17"/>
    <s v="UPI"/>
    <n v="2"/>
    <s v="Vivo S1"/>
  </r>
  <r>
    <n v="2057"/>
    <n v="16"/>
    <n v="5"/>
    <n v="2023"/>
    <s v="Tuesday"/>
    <x v="3"/>
    <n v="8"/>
    <n v="54017.31"/>
    <s v="Aditya Iyer"/>
    <n v="37"/>
    <x v="11"/>
    <s v="Credit Card"/>
    <n v="4"/>
    <s v="Galaxy S21"/>
  </r>
  <r>
    <n v="2058"/>
    <n v="16"/>
    <n v="5"/>
    <n v="2023"/>
    <s v="Tuesday"/>
    <x v="4"/>
    <n v="2"/>
    <n v="47501.61"/>
    <s v="Meena Thakur"/>
    <n v="54"/>
    <x v="2"/>
    <s v="Credit Card"/>
    <n v="1"/>
    <s v="iPhone 11"/>
  </r>
  <r>
    <n v="2059"/>
    <n v="16"/>
    <n v="5"/>
    <n v="2023"/>
    <s v="Tuesday"/>
    <x v="4"/>
    <n v="4"/>
    <n v="61240.98"/>
    <s v="Tapan Joshi"/>
    <n v="26"/>
    <x v="13"/>
    <s v="Debit Card"/>
    <n v="1"/>
    <s v="iPhone 11"/>
  </r>
  <r>
    <n v="2060"/>
    <n v="17"/>
    <n v="5"/>
    <n v="2023"/>
    <s v="Wednesday"/>
    <x v="2"/>
    <n v="7"/>
    <n v="58147.59"/>
    <s v="Jyoti Ghosh"/>
    <n v="55"/>
    <x v="1"/>
    <s v="Credit Card"/>
    <n v="4"/>
    <s v="OnePlus Nord"/>
  </r>
  <r>
    <n v="2061"/>
    <n v="17"/>
    <n v="5"/>
    <n v="2023"/>
    <s v="Wednesday"/>
    <x v="2"/>
    <n v="8"/>
    <n v="12482.46"/>
    <s v="Anjali Varma"/>
    <n v="36"/>
    <x v="13"/>
    <s v="Credit Card"/>
    <n v="2"/>
    <s v="OnePlus Nord"/>
  </r>
  <r>
    <n v="2062"/>
    <n v="17"/>
    <n v="5"/>
    <n v="2023"/>
    <s v="Wednesday"/>
    <x v="2"/>
    <n v="1"/>
    <n v="32733.23"/>
    <s v="Namita Kumar"/>
    <n v="57"/>
    <x v="10"/>
    <s v="Cash"/>
    <n v="4"/>
    <s v="OnePlus 9"/>
  </r>
  <r>
    <n v="2063"/>
    <n v="18"/>
    <n v="5"/>
    <n v="2023"/>
    <s v="Thursday"/>
    <x v="3"/>
    <n v="4"/>
    <n v="12082.97"/>
    <s v="Krishna Pillai"/>
    <n v="24"/>
    <x v="1"/>
    <s v="UPI"/>
    <n v="1"/>
    <s v="Galaxy A51"/>
  </r>
  <r>
    <n v="2064"/>
    <n v="18"/>
    <n v="5"/>
    <n v="2023"/>
    <s v="Thursday"/>
    <x v="3"/>
    <n v="6"/>
    <n v="16124.5"/>
    <s v="Shruti Alva"/>
    <n v="22"/>
    <x v="16"/>
    <s v="Cash"/>
    <n v="1"/>
    <s v="Galaxy S21"/>
  </r>
  <r>
    <n v="2065"/>
    <n v="18"/>
    <n v="5"/>
    <n v="2023"/>
    <s v="Thursday"/>
    <x v="1"/>
    <n v="3"/>
    <n v="46084.639999999999"/>
    <s v="Krishna Patel"/>
    <n v="59"/>
    <x v="13"/>
    <s v="UPI"/>
    <n v="4"/>
    <s v="Vivo Y51"/>
  </r>
  <r>
    <n v="2066"/>
    <n v="18"/>
    <n v="5"/>
    <n v="2023"/>
    <s v="Thursday"/>
    <x v="2"/>
    <n v="5"/>
    <n v="62429.31"/>
    <s v="Anjali Sharma"/>
    <n v="41"/>
    <x v="18"/>
    <s v="Cash"/>
    <n v="1"/>
    <s v="OnePlus 8T"/>
  </r>
  <r>
    <n v="2067"/>
    <n v="19"/>
    <n v="5"/>
    <n v="2023"/>
    <s v="Friday"/>
    <x v="4"/>
    <n v="9"/>
    <n v="17189.490000000002"/>
    <s v="Meena Chatterjee"/>
    <n v="58"/>
    <x v="17"/>
    <s v="Debit Card"/>
    <n v="1"/>
    <s v="iPhone SE"/>
  </r>
  <r>
    <n v="2068"/>
    <n v="19"/>
    <n v="5"/>
    <n v="2023"/>
    <s v="Friday"/>
    <x v="0"/>
    <n v="3"/>
    <n v="37065.360000000001"/>
    <s v="Sachin Desai"/>
    <n v="24"/>
    <x v="7"/>
    <s v="Cash"/>
    <n v="4"/>
    <s v="Redmi Note 10"/>
  </r>
  <r>
    <n v="2069"/>
    <n v="19"/>
    <n v="5"/>
    <n v="2023"/>
    <s v="Friday"/>
    <x v="1"/>
    <n v="5"/>
    <n v="64652.73"/>
    <s v="Meena Sheth"/>
    <n v="28"/>
    <x v="17"/>
    <s v="Cash"/>
    <n v="5"/>
    <s v="Vivo V20"/>
  </r>
  <r>
    <n v="2070"/>
    <n v="20"/>
    <n v="5"/>
    <n v="2023"/>
    <s v="Saturday"/>
    <x v="3"/>
    <n v="8"/>
    <n v="58858.06"/>
    <s v="Radha Solanki"/>
    <n v="26"/>
    <x v="1"/>
    <s v="Debit Card"/>
    <n v="4"/>
    <s v="Galaxy Note 20"/>
  </r>
  <r>
    <n v="2071"/>
    <n v="20"/>
    <n v="5"/>
    <n v="2023"/>
    <s v="Saturday"/>
    <x v="1"/>
    <n v="6"/>
    <n v="41180.07"/>
    <s v="Kiran Chaudhary"/>
    <n v="47"/>
    <x v="18"/>
    <s v="Credit Card"/>
    <n v="5"/>
    <s v="Vivo Y51"/>
  </r>
  <r>
    <n v="2072"/>
    <n v="20"/>
    <n v="5"/>
    <n v="2023"/>
    <s v="Saturday"/>
    <x v="1"/>
    <n v="4"/>
    <n v="56294.29"/>
    <s v="Anita Varma"/>
    <n v="58"/>
    <x v="16"/>
    <s v="Credit Card"/>
    <n v="4"/>
    <s v="Vivo V20"/>
  </r>
  <r>
    <n v="2073"/>
    <n v="20"/>
    <n v="5"/>
    <n v="2023"/>
    <s v="Saturday"/>
    <x v="1"/>
    <n v="8"/>
    <n v="41361.629999999997"/>
    <s v="Kavita Goyal"/>
    <n v="20"/>
    <x v="2"/>
    <s v="Debit Card"/>
    <n v="4"/>
    <s v="Vivo V20"/>
  </r>
  <r>
    <n v="2074"/>
    <n v="21"/>
    <n v="5"/>
    <n v="2023"/>
    <s v="Sunday"/>
    <x v="1"/>
    <n v="3"/>
    <n v="19485.54"/>
    <s v="Nikhil Solanki"/>
    <n v="39"/>
    <x v="1"/>
    <s v="Debit Card"/>
    <n v="2"/>
    <s v="Vivo Y51"/>
  </r>
  <r>
    <n v="2075"/>
    <n v="21"/>
    <n v="5"/>
    <n v="2023"/>
    <s v="Sunday"/>
    <x v="0"/>
    <n v="3"/>
    <n v="17484.169999999998"/>
    <s v="Amit Srivastava"/>
    <n v="57"/>
    <x v="1"/>
    <s v="Cash"/>
    <n v="4"/>
    <s v="Redmi Note 10"/>
  </r>
  <r>
    <n v="2076"/>
    <n v="21"/>
    <n v="5"/>
    <n v="2023"/>
    <s v="Sunday"/>
    <x v="2"/>
    <n v="4"/>
    <n v="21302.09"/>
    <s v="Anita Kumar"/>
    <n v="37"/>
    <x v="1"/>
    <s v="Debit Card"/>
    <n v="4"/>
    <s v="OnePlus 8T"/>
  </r>
  <r>
    <n v="2077"/>
    <n v="22"/>
    <n v="5"/>
    <n v="2023"/>
    <s v="Monday"/>
    <x v="4"/>
    <n v="9"/>
    <n v="31055.33"/>
    <s v="Umesh Chaudhary"/>
    <n v="49"/>
    <x v="15"/>
    <s v="Debit Card"/>
    <n v="2"/>
    <s v="iPhone 12"/>
  </r>
  <r>
    <n v="2078"/>
    <n v="22"/>
    <n v="5"/>
    <n v="2023"/>
    <s v="Monday"/>
    <x v="1"/>
    <n v="5"/>
    <n v="65831.759999999995"/>
    <s v="Manoj Kapoor"/>
    <n v="24"/>
    <x v="0"/>
    <s v="UPI"/>
    <n v="4"/>
    <s v="Vivo S1"/>
  </r>
  <r>
    <n v="2079"/>
    <n v="22"/>
    <n v="5"/>
    <n v="2023"/>
    <s v="Monday"/>
    <x v="1"/>
    <n v="8"/>
    <n v="57980.7"/>
    <s v="Neeta Nair"/>
    <n v="24"/>
    <x v="7"/>
    <s v="UPI"/>
    <n v="4"/>
    <s v="Vivo Y51"/>
  </r>
  <r>
    <n v="2080"/>
    <n v="23"/>
    <n v="5"/>
    <n v="2023"/>
    <s v="Tuesday"/>
    <x v="1"/>
    <n v="6"/>
    <n v="35968.089999999997"/>
    <s v="Mala Ghosh"/>
    <n v="37"/>
    <x v="9"/>
    <s v="Credit Card"/>
    <n v="2"/>
    <s v="Vivo V20"/>
  </r>
  <r>
    <n v="2081"/>
    <n v="23"/>
    <n v="5"/>
    <n v="2023"/>
    <s v="Tuesday"/>
    <x v="2"/>
    <n v="3"/>
    <n v="39584.6"/>
    <s v="Anjali Das"/>
    <n v="42"/>
    <x v="12"/>
    <s v="Debit Card"/>
    <n v="5"/>
    <s v="OnePlus 8T"/>
  </r>
  <r>
    <n v="2082"/>
    <n v="23"/>
    <n v="5"/>
    <n v="2023"/>
    <s v="Tuesday"/>
    <x v="3"/>
    <n v="8"/>
    <n v="25936.57"/>
    <s v="Reena Goyal"/>
    <n v="52"/>
    <x v="0"/>
    <s v="Cash"/>
    <n v="4"/>
    <s v="Galaxy S21"/>
  </r>
  <r>
    <n v="2083"/>
    <n v="23"/>
    <n v="5"/>
    <n v="2023"/>
    <s v="Tuesday"/>
    <x v="3"/>
    <n v="9"/>
    <n v="52261.18"/>
    <s v="Prashant Mathur"/>
    <n v="41"/>
    <x v="1"/>
    <s v="Credit Card"/>
    <n v="1"/>
    <s v="Galaxy A51"/>
  </r>
  <r>
    <n v="2084"/>
    <n v="24"/>
    <n v="5"/>
    <n v="2023"/>
    <s v="Wednesday"/>
    <x v="0"/>
    <n v="8"/>
    <n v="58165.94"/>
    <s v="Tapan Patel"/>
    <n v="57"/>
    <x v="15"/>
    <s v="Credit Card"/>
    <n v="2"/>
    <s v="Redmi 9"/>
  </r>
  <r>
    <n v="2085"/>
    <n v="24"/>
    <n v="5"/>
    <n v="2023"/>
    <s v="Wednesday"/>
    <x v="3"/>
    <n v="4"/>
    <n v="24334.28"/>
    <s v="Vinod Kaur"/>
    <n v="30"/>
    <x v="0"/>
    <s v="Credit Card"/>
    <n v="1"/>
    <s v="Galaxy A51"/>
  </r>
  <r>
    <n v="2086"/>
    <n v="24"/>
    <n v="5"/>
    <n v="2023"/>
    <s v="Wednesday"/>
    <x v="1"/>
    <n v="6"/>
    <n v="12509.3"/>
    <s v="Meena Das"/>
    <n v="56"/>
    <x v="16"/>
    <s v="Debit Card"/>
    <n v="2"/>
    <s v="Vivo Y51"/>
  </r>
  <r>
    <n v="2087"/>
    <n v="25"/>
    <n v="5"/>
    <n v="2023"/>
    <s v="Thursday"/>
    <x v="1"/>
    <n v="1"/>
    <n v="47433.34"/>
    <s v="Devendra Arora"/>
    <n v="21"/>
    <x v="8"/>
    <s v="Debit Card"/>
    <n v="5"/>
    <s v="Vivo S1"/>
  </r>
  <r>
    <n v="2088"/>
    <n v="25"/>
    <n v="5"/>
    <n v="2023"/>
    <s v="Thursday"/>
    <x v="1"/>
    <n v="4"/>
    <n v="43750.73"/>
    <s v="Sachin Nambiar"/>
    <n v="29"/>
    <x v="6"/>
    <s v="Cash"/>
    <n v="2"/>
    <s v="Vivo Y51"/>
  </r>
  <r>
    <n v="2089"/>
    <n v="25"/>
    <n v="5"/>
    <n v="2023"/>
    <s v="Thursday"/>
    <x v="0"/>
    <n v="8"/>
    <n v="34127.870000000003"/>
    <s v="Aditya Joshi"/>
    <n v="34"/>
    <x v="2"/>
    <s v="Cash"/>
    <n v="4"/>
    <s v="Redmi 9"/>
  </r>
  <r>
    <n v="2090"/>
    <n v="25"/>
    <n v="5"/>
    <n v="2023"/>
    <s v="Thursday"/>
    <x v="1"/>
    <n v="1"/>
    <n v="48633.64"/>
    <s v="Tapan Varma"/>
    <n v="18"/>
    <x v="4"/>
    <s v="Credit Card"/>
    <n v="1"/>
    <s v="Vivo Y51"/>
  </r>
  <r>
    <n v="2091"/>
    <n v="26"/>
    <n v="5"/>
    <n v="2023"/>
    <s v="Friday"/>
    <x v="3"/>
    <n v="3"/>
    <n v="43036.800000000003"/>
    <s v="Sunita Arora"/>
    <n v="34"/>
    <x v="1"/>
    <s v="Debit Card"/>
    <n v="1"/>
    <s v="Galaxy A51"/>
  </r>
  <r>
    <n v="2092"/>
    <n v="26"/>
    <n v="5"/>
    <n v="2023"/>
    <s v="Friday"/>
    <x v="2"/>
    <n v="1"/>
    <n v="25034.89"/>
    <s v="Lata Dutta"/>
    <n v="19"/>
    <x v="1"/>
    <s v="Cash"/>
    <n v="2"/>
    <s v="OnePlus 9"/>
  </r>
  <r>
    <n v="2093"/>
    <n v="26"/>
    <n v="5"/>
    <n v="2023"/>
    <s v="Friday"/>
    <x v="2"/>
    <n v="9"/>
    <n v="33863.74"/>
    <s v="Aditya Patel"/>
    <n v="23"/>
    <x v="8"/>
    <s v="UPI"/>
    <n v="4"/>
    <s v="OnePlus 9"/>
  </r>
  <r>
    <n v="2094"/>
    <n v="26"/>
    <n v="5"/>
    <n v="2023"/>
    <s v="Friday"/>
    <x v="4"/>
    <n v="2"/>
    <n v="35686.81"/>
    <s v="Isha Thakur"/>
    <n v="28"/>
    <x v="2"/>
    <s v="UPI"/>
    <n v="4"/>
    <s v="iPhone 11"/>
  </r>
  <r>
    <n v="2095"/>
    <n v="27"/>
    <n v="5"/>
    <n v="2023"/>
    <s v="Saturday"/>
    <x v="3"/>
    <n v="9"/>
    <n v="62814.879999999997"/>
    <s v="Manoj Shah"/>
    <n v="35"/>
    <x v="0"/>
    <s v="Credit Card"/>
    <n v="2"/>
    <s v="Galaxy A51"/>
  </r>
  <r>
    <n v="2096"/>
    <n v="27"/>
    <n v="5"/>
    <n v="2023"/>
    <s v="Saturday"/>
    <x v="1"/>
    <n v="4"/>
    <n v="67654.25"/>
    <s v="Pooja Deshmukh"/>
    <n v="57"/>
    <x v="1"/>
    <s v="UPI"/>
    <n v="4"/>
    <s v="Vivo S1"/>
  </r>
  <r>
    <n v="2097"/>
    <n v="27"/>
    <n v="5"/>
    <n v="2023"/>
    <s v="Saturday"/>
    <x v="2"/>
    <n v="2"/>
    <n v="63580.08"/>
    <s v="Tanuja Roy"/>
    <n v="42"/>
    <x v="1"/>
    <s v="Credit Card"/>
    <n v="5"/>
    <s v="OnePlus 9"/>
  </r>
  <r>
    <n v="2098"/>
    <n v="27"/>
    <n v="5"/>
    <n v="2023"/>
    <s v="Saturday"/>
    <x v="3"/>
    <n v="4"/>
    <n v="53150.68"/>
    <s v="Lata Kaur"/>
    <n v="56"/>
    <x v="12"/>
    <s v="Debit Card"/>
    <n v="2"/>
    <s v="Galaxy A51"/>
  </r>
  <r>
    <n v="2099"/>
    <n v="28"/>
    <n v="5"/>
    <n v="2023"/>
    <s v="Sunday"/>
    <x v="2"/>
    <n v="6"/>
    <n v="45099.56"/>
    <s v="Mala Malhotra"/>
    <n v="45"/>
    <x v="1"/>
    <s v="Credit Card"/>
    <n v="4"/>
    <s v="OnePlus Nord"/>
  </r>
  <r>
    <n v="2100"/>
    <n v="28"/>
    <n v="5"/>
    <n v="2023"/>
    <s v="Sunday"/>
    <x v="1"/>
    <n v="7"/>
    <n v="51355.7"/>
    <s v="Priyanka Nambiar"/>
    <n v="33"/>
    <x v="10"/>
    <s v="Credit Card"/>
    <n v="5"/>
    <s v="Vivo Y51"/>
  </r>
  <r>
    <n v="2101"/>
    <n v="28"/>
    <n v="5"/>
    <n v="2023"/>
    <s v="Sunday"/>
    <x v="2"/>
    <n v="3"/>
    <n v="66346.55"/>
    <s v="Sneha Menon"/>
    <n v="29"/>
    <x v="5"/>
    <s v="Debit Card"/>
    <n v="2"/>
    <s v="OnePlus 9"/>
  </r>
  <r>
    <n v="2102"/>
    <n v="29"/>
    <n v="5"/>
    <n v="2023"/>
    <s v="Monday"/>
    <x v="4"/>
    <n v="3"/>
    <n v="24999.919999999998"/>
    <s v="Rajesh Shah"/>
    <n v="58"/>
    <x v="1"/>
    <s v="Cash"/>
    <n v="5"/>
    <s v="iPhone SE"/>
  </r>
  <r>
    <n v="2103"/>
    <n v="29"/>
    <n v="5"/>
    <n v="2023"/>
    <s v="Monday"/>
    <x v="4"/>
    <n v="8"/>
    <n v="42107.23"/>
    <s v="Navin Nair"/>
    <n v="46"/>
    <x v="1"/>
    <s v="Cash"/>
    <n v="4"/>
    <s v="iPhone SE"/>
  </r>
  <r>
    <n v="2104"/>
    <n v="29"/>
    <n v="5"/>
    <n v="2023"/>
    <s v="Monday"/>
    <x v="2"/>
    <n v="5"/>
    <n v="51376.480000000003"/>
    <s v="Shruti Mehta"/>
    <n v="40"/>
    <x v="18"/>
    <s v="Cash"/>
    <n v="4"/>
    <s v="OnePlus 8T"/>
  </r>
  <r>
    <n v="2105"/>
    <n v="30"/>
    <n v="5"/>
    <n v="2023"/>
    <s v="Tuesday"/>
    <x v="3"/>
    <n v="4"/>
    <n v="50754.82"/>
    <s v="Sachin Arora"/>
    <n v="38"/>
    <x v="14"/>
    <s v="Cash"/>
    <n v="4"/>
    <s v="Galaxy Note 20"/>
  </r>
  <r>
    <n v="2106"/>
    <n v="30"/>
    <n v="5"/>
    <n v="2023"/>
    <s v="Tuesday"/>
    <x v="3"/>
    <n v="7"/>
    <n v="25136.74"/>
    <s v="Lata Alva"/>
    <n v="33"/>
    <x v="4"/>
    <s v="Credit Card"/>
    <n v="4"/>
    <s v="Galaxy Note 20"/>
  </r>
  <r>
    <n v="2107"/>
    <n v="30"/>
    <n v="5"/>
    <n v="2023"/>
    <s v="Tuesday"/>
    <x v="3"/>
    <n v="7"/>
    <n v="45203.89"/>
    <s v="Namita Roy"/>
    <n v="58"/>
    <x v="14"/>
    <s v="Cash"/>
    <n v="4"/>
    <s v="Galaxy Note 20"/>
  </r>
  <r>
    <n v="2108"/>
    <n v="30"/>
    <n v="5"/>
    <n v="2023"/>
    <s v="Tuesday"/>
    <x v="2"/>
    <n v="9"/>
    <n v="57754.79"/>
    <s v="Vinod Chatterjee"/>
    <n v="43"/>
    <x v="1"/>
    <s v="UPI"/>
    <n v="4"/>
    <s v="OnePlus Nord"/>
  </r>
  <r>
    <n v="2109"/>
    <n v="31"/>
    <n v="5"/>
    <n v="2023"/>
    <s v="Wednesday"/>
    <x v="3"/>
    <n v="9"/>
    <n v="38504.74"/>
    <s v="Shruti Roy"/>
    <n v="54"/>
    <x v="2"/>
    <s v="UPI"/>
    <n v="2"/>
    <s v="Galaxy A51"/>
  </r>
  <r>
    <n v="2110"/>
    <n v="31"/>
    <n v="5"/>
    <n v="2023"/>
    <s v="Wednesday"/>
    <x v="1"/>
    <n v="5"/>
    <n v="57597.88"/>
    <s v="Neeta Nair"/>
    <n v="39"/>
    <x v="2"/>
    <s v="Cash"/>
    <n v="2"/>
    <s v="Vivo S1"/>
  </r>
  <r>
    <n v="2111"/>
    <n v="31"/>
    <n v="5"/>
    <n v="2023"/>
    <s v="Wednesday"/>
    <x v="4"/>
    <n v="8"/>
    <n v="31592.959999999999"/>
    <s v="Bhavana Teja"/>
    <n v="27"/>
    <x v="3"/>
    <s v="UPI"/>
    <n v="5"/>
    <s v="iPhone 11"/>
  </r>
  <r>
    <n v="2112"/>
    <n v="31"/>
    <n v="5"/>
    <n v="2023"/>
    <s v="Wednesday"/>
    <x v="1"/>
    <n v="1"/>
    <n v="66325.61"/>
    <s v="Sunil Varma"/>
    <n v="24"/>
    <x v="1"/>
    <s v="UPI"/>
    <n v="2"/>
    <s v="Vivo S1"/>
  </r>
  <r>
    <n v="2113"/>
    <n v="1"/>
    <n v="6"/>
    <n v="2023"/>
    <s v="Thursday"/>
    <x v="3"/>
    <n v="9"/>
    <n v="42035.71"/>
    <s v="Aditya Rao"/>
    <n v="26"/>
    <x v="7"/>
    <s v="Debit Card"/>
    <n v="2"/>
    <s v="Galaxy S21"/>
  </r>
  <r>
    <n v="2114"/>
    <n v="1"/>
    <n v="6"/>
    <n v="2023"/>
    <s v="Thursday"/>
    <x v="1"/>
    <n v="8"/>
    <n v="45756.88"/>
    <s v="Pooja Rao"/>
    <n v="42"/>
    <x v="1"/>
    <s v="Debit Card"/>
    <n v="5"/>
    <s v="Vivo V20"/>
  </r>
  <r>
    <n v="2115"/>
    <n v="1"/>
    <n v="6"/>
    <n v="2023"/>
    <s v="Thursday"/>
    <x v="3"/>
    <n v="6"/>
    <n v="11881.69"/>
    <s v="Neeta Desai"/>
    <n v="32"/>
    <x v="13"/>
    <s v="Cash"/>
    <n v="1"/>
    <s v="Galaxy A51"/>
  </r>
  <r>
    <n v="2116"/>
    <n v="2"/>
    <n v="6"/>
    <n v="2023"/>
    <s v="Friday"/>
    <x v="2"/>
    <n v="3"/>
    <n v="20216.150000000001"/>
    <s v="Deepika Deshmukh"/>
    <n v="30"/>
    <x v="8"/>
    <s v="Credit Card"/>
    <n v="4"/>
    <s v="OnePlus 8T"/>
  </r>
  <r>
    <n v="2117"/>
    <n v="2"/>
    <n v="6"/>
    <n v="2023"/>
    <s v="Friday"/>
    <x v="1"/>
    <n v="3"/>
    <n v="47976.03"/>
    <s v="Tanuja Mathur"/>
    <n v="59"/>
    <x v="15"/>
    <s v="Credit Card"/>
    <n v="2"/>
    <s v="Vivo V20"/>
  </r>
  <r>
    <n v="2118"/>
    <n v="2"/>
    <n v="6"/>
    <n v="2023"/>
    <s v="Friday"/>
    <x v="2"/>
    <n v="8"/>
    <n v="35192.22"/>
    <s v="Tanuja Mathur"/>
    <n v="43"/>
    <x v="11"/>
    <s v="Debit Card"/>
    <n v="5"/>
    <s v="OnePlus Nord"/>
  </r>
  <r>
    <n v="2119"/>
    <n v="2"/>
    <n v="6"/>
    <n v="2023"/>
    <s v="Friday"/>
    <x v="2"/>
    <n v="5"/>
    <n v="40489.83"/>
    <s v="Lata Mehta"/>
    <n v="38"/>
    <x v="3"/>
    <s v="Debit Card"/>
    <n v="4"/>
    <s v="OnePlus 9"/>
  </r>
  <r>
    <n v="2120"/>
    <n v="3"/>
    <n v="6"/>
    <n v="2023"/>
    <s v="Saturday"/>
    <x v="0"/>
    <n v="7"/>
    <n v="13778.28"/>
    <s v="Nikhil Jain"/>
    <n v="40"/>
    <x v="6"/>
    <s v="Credit Card"/>
    <n v="4"/>
    <s v="Redmi Note 10"/>
  </r>
  <r>
    <n v="2121"/>
    <n v="3"/>
    <n v="6"/>
    <n v="2023"/>
    <s v="Saturday"/>
    <x v="3"/>
    <n v="5"/>
    <n v="60048.11"/>
    <s v="Priyanka Ghosh"/>
    <n v="45"/>
    <x v="7"/>
    <s v="Cash"/>
    <n v="2"/>
    <s v="Galaxy S21"/>
  </r>
  <r>
    <n v="2122"/>
    <n v="3"/>
    <n v="6"/>
    <n v="2023"/>
    <s v="Saturday"/>
    <x v="4"/>
    <n v="8"/>
    <n v="57070.34"/>
    <s v="Anita Joshi"/>
    <n v="55"/>
    <x v="2"/>
    <s v="Credit Card"/>
    <n v="4"/>
    <s v="iPhone 12"/>
  </r>
  <r>
    <n v="2123"/>
    <n v="3"/>
    <n v="6"/>
    <n v="2023"/>
    <s v="Saturday"/>
    <x v="3"/>
    <n v="4"/>
    <n v="21121.24"/>
    <s v="Navin Gupta"/>
    <n v="29"/>
    <x v="2"/>
    <s v="Credit Card"/>
    <n v="5"/>
    <s v="Galaxy A51"/>
  </r>
  <r>
    <n v="2124"/>
    <n v="4"/>
    <n v="6"/>
    <n v="2023"/>
    <s v="Sunday"/>
    <x v="4"/>
    <n v="2"/>
    <n v="48059.76"/>
    <s v="Tapan Rathod"/>
    <n v="41"/>
    <x v="0"/>
    <s v="UPI"/>
    <n v="5"/>
    <s v="iPhone 12"/>
  </r>
  <r>
    <n v="2125"/>
    <n v="4"/>
    <n v="6"/>
    <n v="2023"/>
    <s v="Sunday"/>
    <x v="3"/>
    <n v="3"/>
    <n v="59098.91"/>
    <s v="Sachin Goyal"/>
    <n v="30"/>
    <x v="1"/>
    <s v="Credit Card"/>
    <n v="5"/>
    <s v="Galaxy A51"/>
  </r>
  <r>
    <n v="2126"/>
    <n v="4"/>
    <n v="6"/>
    <n v="2023"/>
    <s v="Sunday"/>
    <x v="2"/>
    <n v="8"/>
    <n v="48451.25"/>
    <s v="Gita Teja"/>
    <n v="57"/>
    <x v="1"/>
    <s v="Debit Card"/>
    <n v="5"/>
    <s v="OnePlus 9"/>
  </r>
  <r>
    <n v="2127"/>
    <n v="4"/>
    <n v="6"/>
    <n v="2023"/>
    <s v="Sunday"/>
    <x v="1"/>
    <n v="7"/>
    <n v="28623.89"/>
    <s v="Anjali Pathak"/>
    <n v="19"/>
    <x v="1"/>
    <s v="Cash"/>
    <n v="5"/>
    <s v="Vivo V20"/>
  </r>
  <r>
    <n v="2128"/>
    <n v="5"/>
    <n v="6"/>
    <n v="2023"/>
    <s v="Monday"/>
    <x v="1"/>
    <n v="2"/>
    <n v="49366.67"/>
    <s v="Devendra Pathak"/>
    <n v="56"/>
    <x v="10"/>
    <s v="Credit Card"/>
    <n v="4"/>
    <s v="Vivo V20"/>
  </r>
  <r>
    <n v="2129"/>
    <n v="5"/>
    <n v="6"/>
    <n v="2023"/>
    <s v="Monday"/>
    <x v="0"/>
    <n v="6"/>
    <n v="22627.7"/>
    <s v="Anand Joshi"/>
    <n v="29"/>
    <x v="3"/>
    <s v="UPI"/>
    <n v="5"/>
    <s v="Redmi 9"/>
  </r>
  <r>
    <n v="2130"/>
    <n v="5"/>
    <n v="6"/>
    <n v="2023"/>
    <s v="Monday"/>
    <x v="4"/>
    <n v="9"/>
    <n v="29095.3"/>
    <s v="Pankaj Mathur"/>
    <n v="56"/>
    <x v="15"/>
    <s v="Debit Card"/>
    <n v="4"/>
    <s v="iPhone 12"/>
  </r>
  <r>
    <n v="2131"/>
    <n v="6"/>
    <n v="6"/>
    <n v="2023"/>
    <s v="Tuesday"/>
    <x v="4"/>
    <n v="4"/>
    <n v="24404.18"/>
    <s v="Monika Thakur"/>
    <n v="31"/>
    <x v="0"/>
    <s v="Debit Card"/>
    <n v="4"/>
    <s v="iPhone 12"/>
  </r>
  <r>
    <n v="2132"/>
    <n v="6"/>
    <n v="6"/>
    <n v="2023"/>
    <s v="Tuesday"/>
    <x v="4"/>
    <n v="9"/>
    <n v="43415.51"/>
    <s v="Bina Goyal"/>
    <n v="47"/>
    <x v="13"/>
    <s v="UPI"/>
    <n v="4"/>
    <s v="iPhone 11"/>
  </r>
  <r>
    <n v="2133"/>
    <n v="6"/>
    <n v="6"/>
    <n v="2023"/>
    <s v="Tuesday"/>
    <x v="2"/>
    <n v="2"/>
    <n v="16493.599999999999"/>
    <s v="Vivek Bhattacharya"/>
    <n v="58"/>
    <x v="2"/>
    <s v="Debit Card"/>
    <n v="4"/>
    <s v="OnePlus 9"/>
  </r>
  <r>
    <n v="2134"/>
    <n v="7"/>
    <n v="6"/>
    <n v="2023"/>
    <s v="Wednesday"/>
    <x v="4"/>
    <n v="2"/>
    <n v="65998.62"/>
    <s v="Priya Sharma"/>
    <n v="36"/>
    <x v="18"/>
    <s v="UPI"/>
    <n v="1"/>
    <s v="iPhone 11"/>
  </r>
  <r>
    <n v="2135"/>
    <n v="7"/>
    <n v="6"/>
    <n v="2023"/>
    <s v="Wednesday"/>
    <x v="1"/>
    <n v="9"/>
    <n v="30010.74"/>
    <s v="Namita Mehta"/>
    <n v="48"/>
    <x v="15"/>
    <s v="Debit Card"/>
    <n v="2"/>
    <s v="Vivo S1"/>
  </r>
  <r>
    <n v="2136"/>
    <n v="7"/>
    <n v="6"/>
    <n v="2023"/>
    <s v="Wednesday"/>
    <x v="2"/>
    <n v="7"/>
    <n v="23138.21"/>
    <s v="Kiran Srivastava"/>
    <n v="42"/>
    <x v="9"/>
    <s v="Debit Card"/>
    <n v="4"/>
    <s v="OnePlus 9"/>
  </r>
  <r>
    <n v="2137"/>
    <n v="8"/>
    <n v="6"/>
    <n v="2023"/>
    <s v="Thursday"/>
    <x v="3"/>
    <n v="7"/>
    <n v="39792.99"/>
    <s v="Sunita Iyer"/>
    <n v="21"/>
    <x v="7"/>
    <s v="Debit Card"/>
    <n v="1"/>
    <s v="Galaxy S21"/>
  </r>
  <r>
    <n v="2138"/>
    <n v="8"/>
    <n v="6"/>
    <n v="2023"/>
    <s v="Thursday"/>
    <x v="4"/>
    <n v="1"/>
    <n v="26619.87"/>
    <s v="Anita Srivastava"/>
    <n v="30"/>
    <x v="3"/>
    <s v="Debit Card"/>
    <n v="4"/>
    <s v="iPhone 11"/>
  </r>
  <r>
    <n v="2139"/>
    <n v="8"/>
    <n v="6"/>
    <n v="2023"/>
    <s v="Thursday"/>
    <x v="4"/>
    <n v="6"/>
    <n v="42094.25"/>
    <s v="Isha Luthra"/>
    <n v="53"/>
    <x v="0"/>
    <s v="UPI"/>
    <n v="4"/>
    <s v="iPhone 11"/>
  </r>
  <r>
    <n v="2140"/>
    <n v="8"/>
    <n v="6"/>
    <n v="2023"/>
    <s v="Thursday"/>
    <x v="3"/>
    <n v="7"/>
    <n v="30910.55"/>
    <s v="Harish Thakur"/>
    <n v="59"/>
    <x v="16"/>
    <s v="Credit Card"/>
    <n v="4"/>
    <s v="Galaxy S21"/>
  </r>
  <r>
    <n v="2141"/>
    <n v="9"/>
    <n v="6"/>
    <n v="2023"/>
    <s v="Friday"/>
    <x v="4"/>
    <n v="6"/>
    <n v="17924.009999999998"/>
    <s v="Arun Desai"/>
    <n v="54"/>
    <x v="2"/>
    <s v="Debit Card"/>
    <n v="5"/>
    <s v="iPhone SE"/>
  </r>
  <r>
    <n v="2142"/>
    <n v="9"/>
    <n v="6"/>
    <n v="2023"/>
    <s v="Friday"/>
    <x v="3"/>
    <n v="6"/>
    <n v="25953.71"/>
    <s v="Priyanka Mishra"/>
    <n v="20"/>
    <x v="8"/>
    <s v="UPI"/>
    <n v="4"/>
    <s v="Galaxy Note 20"/>
  </r>
  <r>
    <n v="2143"/>
    <n v="9"/>
    <n v="6"/>
    <n v="2023"/>
    <s v="Friday"/>
    <x v="2"/>
    <n v="2"/>
    <n v="36306.39"/>
    <s v="Rajesh Verma"/>
    <n v="33"/>
    <x v="2"/>
    <s v="UPI"/>
    <n v="4"/>
    <s v="OnePlus 9"/>
  </r>
  <r>
    <n v="2144"/>
    <n v="9"/>
    <n v="6"/>
    <n v="2023"/>
    <s v="Friday"/>
    <x v="1"/>
    <n v="6"/>
    <n v="11817.59"/>
    <s v="Sachin Goyal"/>
    <n v="43"/>
    <x v="15"/>
    <s v="UPI"/>
    <n v="2"/>
    <s v="Vivo Y51"/>
  </r>
  <r>
    <n v="2145"/>
    <n v="10"/>
    <n v="6"/>
    <n v="2023"/>
    <s v="Saturday"/>
    <x v="3"/>
    <n v="4"/>
    <n v="56238.55"/>
    <s v="Monika Mehta"/>
    <n v="57"/>
    <x v="2"/>
    <s v="Credit Card"/>
    <n v="4"/>
    <s v="Galaxy A51"/>
  </r>
  <r>
    <n v="2146"/>
    <n v="10"/>
    <n v="6"/>
    <n v="2023"/>
    <s v="Saturday"/>
    <x v="0"/>
    <n v="9"/>
    <n v="47309.47"/>
    <s v="Rajesh Menon"/>
    <n v="56"/>
    <x v="1"/>
    <s v="Cash"/>
    <n v="1"/>
    <s v="Mi 11"/>
  </r>
  <r>
    <n v="2147"/>
    <n v="10"/>
    <n v="6"/>
    <n v="2023"/>
    <s v="Saturday"/>
    <x v="3"/>
    <n v="1"/>
    <n v="46081.58"/>
    <s v="Mala Thakur"/>
    <n v="36"/>
    <x v="9"/>
    <s v="UPI"/>
    <n v="4"/>
    <s v="Galaxy S21"/>
  </r>
  <r>
    <n v="2148"/>
    <n v="10"/>
    <n v="6"/>
    <n v="2023"/>
    <s v="Saturday"/>
    <x v="4"/>
    <n v="8"/>
    <n v="42763"/>
    <s v="Rohan Singh"/>
    <n v="32"/>
    <x v="1"/>
    <s v="UPI"/>
    <n v="1"/>
    <s v="iPhone 11"/>
  </r>
  <r>
    <n v="2149"/>
    <n v="11"/>
    <n v="6"/>
    <n v="2023"/>
    <s v="Sunday"/>
    <x v="2"/>
    <n v="5"/>
    <n v="45418.79"/>
    <s v="Tapan Varma"/>
    <n v="49"/>
    <x v="7"/>
    <s v="UPI"/>
    <n v="5"/>
    <s v="OnePlus Nord"/>
  </r>
  <r>
    <n v="2150"/>
    <n v="11"/>
    <n v="6"/>
    <n v="2023"/>
    <s v="Sunday"/>
    <x v="2"/>
    <n v="1"/>
    <n v="66079.12"/>
    <s v="Vivek Jain"/>
    <n v="38"/>
    <x v="1"/>
    <s v="Credit Card"/>
    <n v="5"/>
    <s v="OnePlus 9"/>
  </r>
  <r>
    <n v="2151"/>
    <n v="11"/>
    <n v="6"/>
    <n v="2023"/>
    <s v="Sunday"/>
    <x v="3"/>
    <n v="4"/>
    <n v="10514.15"/>
    <s v="Pankaj Kapoor"/>
    <n v="18"/>
    <x v="9"/>
    <s v="Debit Card"/>
    <n v="2"/>
    <s v="Galaxy S21"/>
  </r>
  <r>
    <n v="2152"/>
    <n v="12"/>
    <n v="6"/>
    <n v="2023"/>
    <s v="Monday"/>
    <x v="1"/>
    <n v="1"/>
    <n v="12867.98"/>
    <s v="Aditya Luthra"/>
    <n v="23"/>
    <x v="10"/>
    <s v="Credit Card"/>
    <n v="4"/>
    <s v="Vivo V20"/>
  </r>
  <r>
    <n v="2153"/>
    <n v="12"/>
    <n v="6"/>
    <n v="2023"/>
    <s v="Monday"/>
    <x v="0"/>
    <n v="6"/>
    <n v="21489.599999999999"/>
    <s v="Anita Bhattacharya"/>
    <n v="44"/>
    <x v="1"/>
    <s v="UPI"/>
    <n v="2"/>
    <s v="Redmi Note 10"/>
  </r>
  <r>
    <n v="2154"/>
    <n v="12"/>
    <n v="6"/>
    <n v="2023"/>
    <s v="Monday"/>
    <x v="2"/>
    <n v="2"/>
    <n v="20038.080000000002"/>
    <s v="Anand Joshi"/>
    <n v="40"/>
    <x v="1"/>
    <s v="Cash"/>
    <n v="1"/>
    <s v="OnePlus Nord"/>
  </r>
  <r>
    <n v="2155"/>
    <n v="12"/>
    <n v="6"/>
    <n v="2023"/>
    <s v="Monday"/>
    <x v="4"/>
    <n v="5"/>
    <n v="20871.669999999998"/>
    <s v="Rajesh Prasad"/>
    <n v="48"/>
    <x v="7"/>
    <s v="UPI"/>
    <n v="2"/>
    <s v="iPhone 12"/>
  </r>
  <r>
    <n v="2156"/>
    <n v="13"/>
    <n v="6"/>
    <n v="2023"/>
    <s v="Tuesday"/>
    <x v="4"/>
    <n v="7"/>
    <n v="50316.63"/>
    <s v="Ramesh Sharma"/>
    <n v="29"/>
    <x v="5"/>
    <s v="Debit Card"/>
    <n v="1"/>
    <s v="iPhone SE"/>
  </r>
  <r>
    <n v="2157"/>
    <n v="13"/>
    <n v="6"/>
    <n v="2023"/>
    <s v="Tuesday"/>
    <x v="1"/>
    <n v="2"/>
    <n v="37569"/>
    <s v="Bina Patel"/>
    <n v="38"/>
    <x v="1"/>
    <s v="Cash"/>
    <n v="2"/>
    <s v="Vivo S1"/>
  </r>
  <r>
    <n v="2158"/>
    <n v="13"/>
    <n v="6"/>
    <n v="2023"/>
    <s v="Tuesday"/>
    <x v="2"/>
    <n v="6"/>
    <n v="69506.73"/>
    <s v="Arun Iyer"/>
    <n v="19"/>
    <x v="1"/>
    <s v="Cash"/>
    <n v="5"/>
    <s v="OnePlus 8T"/>
  </r>
  <r>
    <n v="2159"/>
    <n v="13"/>
    <n v="6"/>
    <n v="2023"/>
    <s v="Tuesday"/>
    <x v="3"/>
    <n v="6"/>
    <n v="23613.15"/>
    <s v="Aditya Jain"/>
    <n v="22"/>
    <x v="14"/>
    <s v="Credit Card"/>
    <n v="4"/>
    <s v="Galaxy Note 20"/>
  </r>
  <r>
    <n v="2160"/>
    <n v="14"/>
    <n v="6"/>
    <n v="2023"/>
    <s v="Wednesday"/>
    <x v="4"/>
    <n v="5"/>
    <n v="28649.81"/>
    <s v="Deepika Prasad"/>
    <n v="26"/>
    <x v="2"/>
    <s v="Credit Card"/>
    <n v="2"/>
    <s v="iPhone 12"/>
  </r>
  <r>
    <n v="2161"/>
    <n v="14"/>
    <n v="6"/>
    <n v="2023"/>
    <s v="Wednesday"/>
    <x v="1"/>
    <n v="5"/>
    <n v="69054.44"/>
    <s v="Priya Varma"/>
    <n v="37"/>
    <x v="12"/>
    <s v="Debit Card"/>
    <n v="1"/>
    <s v="Vivo V20"/>
  </r>
  <r>
    <n v="2162"/>
    <n v="14"/>
    <n v="6"/>
    <n v="2023"/>
    <s v="Wednesday"/>
    <x v="2"/>
    <n v="3"/>
    <n v="59905.49"/>
    <s v="Ravi Kaur"/>
    <n v="35"/>
    <x v="2"/>
    <s v="Credit Card"/>
    <n v="4"/>
    <s v="OnePlus Nord"/>
  </r>
  <r>
    <n v="2163"/>
    <n v="14"/>
    <n v="6"/>
    <n v="2023"/>
    <s v="Wednesday"/>
    <x v="2"/>
    <n v="2"/>
    <n v="38187.949999999997"/>
    <s v="Amit Ghosh"/>
    <n v="39"/>
    <x v="17"/>
    <s v="Debit Card"/>
    <n v="5"/>
    <s v="OnePlus 8T"/>
  </r>
  <r>
    <n v="2164"/>
    <n v="15"/>
    <n v="6"/>
    <n v="2023"/>
    <s v="Thursday"/>
    <x v="2"/>
    <n v="7"/>
    <n v="43275.81"/>
    <s v="Vijay Malhotra"/>
    <n v="25"/>
    <x v="1"/>
    <s v="Cash"/>
    <n v="5"/>
    <s v="OnePlus 9"/>
  </r>
  <r>
    <n v="2165"/>
    <n v="15"/>
    <n v="6"/>
    <n v="2023"/>
    <s v="Thursday"/>
    <x v="2"/>
    <n v="1"/>
    <n v="60590.68"/>
    <s v="Pankaj Desai"/>
    <n v="51"/>
    <x v="7"/>
    <s v="Cash"/>
    <n v="4"/>
    <s v="OnePlus 9"/>
  </r>
  <r>
    <n v="2166"/>
    <n v="15"/>
    <n v="6"/>
    <n v="2023"/>
    <s v="Thursday"/>
    <x v="2"/>
    <n v="6"/>
    <n v="38858.81"/>
    <s v="Isha Thakur"/>
    <n v="26"/>
    <x v="1"/>
    <s v="Cash"/>
    <n v="4"/>
    <s v="OnePlus Nord"/>
  </r>
  <r>
    <n v="2167"/>
    <n v="15"/>
    <n v="6"/>
    <n v="2023"/>
    <s v="Thursday"/>
    <x v="4"/>
    <n v="6"/>
    <n v="22361.42"/>
    <s v="Tapan Nair"/>
    <n v="24"/>
    <x v="2"/>
    <s v="Debit Card"/>
    <n v="2"/>
    <s v="iPhone 11"/>
  </r>
  <r>
    <n v="2168"/>
    <n v="16"/>
    <n v="6"/>
    <n v="2023"/>
    <s v="Friday"/>
    <x v="1"/>
    <n v="3"/>
    <n v="59706.67"/>
    <s v="Tapan Rathod"/>
    <n v="47"/>
    <x v="12"/>
    <s v="Credit Card"/>
    <n v="5"/>
    <s v="Vivo V20"/>
  </r>
  <r>
    <n v="2169"/>
    <n v="16"/>
    <n v="6"/>
    <n v="2023"/>
    <s v="Friday"/>
    <x v="2"/>
    <n v="2"/>
    <n v="42266.35"/>
    <s v="Vijay Varma"/>
    <n v="35"/>
    <x v="16"/>
    <s v="Credit Card"/>
    <n v="2"/>
    <s v="OnePlus 9"/>
  </r>
  <r>
    <n v="2170"/>
    <n v="16"/>
    <n v="6"/>
    <n v="2023"/>
    <s v="Friday"/>
    <x v="0"/>
    <n v="2"/>
    <n v="19182.560000000001"/>
    <s v="Rajesh Sheth"/>
    <n v="44"/>
    <x v="15"/>
    <s v="Credit Card"/>
    <n v="2"/>
    <s v="Redmi Note 10"/>
  </r>
  <r>
    <n v="2171"/>
    <n v="17"/>
    <n v="6"/>
    <n v="2023"/>
    <s v="Saturday"/>
    <x v="0"/>
    <n v="9"/>
    <n v="40335.15"/>
    <s v="Arun Verma"/>
    <n v="33"/>
    <x v="8"/>
    <s v="UPI"/>
    <n v="1"/>
    <s v="Redmi Note 10"/>
  </r>
  <r>
    <n v="2172"/>
    <n v="17"/>
    <n v="6"/>
    <n v="2023"/>
    <s v="Saturday"/>
    <x v="1"/>
    <n v="5"/>
    <n v="34792.199999999997"/>
    <s v="Krishna Sharma"/>
    <n v="38"/>
    <x v="2"/>
    <s v="Cash"/>
    <n v="2"/>
    <s v="Vivo V20"/>
  </r>
  <r>
    <n v="2173"/>
    <n v="17"/>
    <n v="6"/>
    <n v="2023"/>
    <s v="Saturday"/>
    <x v="3"/>
    <n v="7"/>
    <n v="62610.55"/>
    <s v="Devendra Luthra"/>
    <n v="22"/>
    <x v="2"/>
    <s v="Cash"/>
    <n v="4"/>
    <s v="Galaxy S21"/>
  </r>
  <r>
    <n v="2174"/>
    <n v="18"/>
    <n v="6"/>
    <n v="2023"/>
    <s v="Sunday"/>
    <x v="3"/>
    <n v="5"/>
    <n v="17563.330000000002"/>
    <s v="Priya Varma"/>
    <n v="46"/>
    <x v="13"/>
    <s v="UPI"/>
    <n v="4"/>
    <s v="Galaxy Note 20"/>
  </r>
  <r>
    <n v="2175"/>
    <n v="18"/>
    <n v="6"/>
    <n v="2023"/>
    <s v="Sunday"/>
    <x v="3"/>
    <n v="7"/>
    <n v="62512.59"/>
    <s v="Bina Jain"/>
    <n v="54"/>
    <x v="13"/>
    <s v="Cash"/>
    <n v="4"/>
    <s v="Galaxy A51"/>
  </r>
  <r>
    <n v="2176"/>
    <n v="18"/>
    <n v="6"/>
    <n v="2023"/>
    <s v="Sunday"/>
    <x v="0"/>
    <n v="4"/>
    <n v="40732.660000000003"/>
    <s v="Krishna Joshi"/>
    <n v="39"/>
    <x v="4"/>
    <s v="Cash"/>
    <n v="1"/>
    <s v="Redmi 9"/>
  </r>
  <r>
    <n v="2177"/>
    <n v="18"/>
    <n v="6"/>
    <n v="2023"/>
    <s v="Sunday"/>
    <x v="3"/>
    <n v="8"/>
    <n v="34261.870000000003"/>
    <s v="Deepika Prasad"/>
    <n v="31"/>
    <x v="2"/>
    <s v="UPI"/>
    <n v="4"/>
    <s v="Galaxy A51"/>
  </r>
  <r>
    <n v="2178"/>
    <n v="19"/>
    <n v="6"/>
    <n v="2023"/>
    <s v="Monday"/>
    <x v="4"/>
    <n v="7"/>
    <n v="19718.03"/>
    <s v="Deepika Alva"/>
    <n v="36"/>
    <x v="1"/>
    <s v="Cash"/>
    <n v="4"/>
    <s v="iPhone 12"/>
  </r>
  <r>
    <n v="2179"/>
    <n v="19"/>
    <n v="6"/>
    <n v="2023"/>
    <s v="Monday"/>
    <x v="2"/>
    <n v="5"/>
    <n v="52049.08"/>
    <s v="Meena Pillai"/>
    <n v="52"/>
    <x v="1"/>
    <s v="Credit Card"/>
    <n v="4"/>
    <s v="OnePlus Nord"/>
  </r>
  <r>
    <n v="2180"/>
    <n v="19"/>
    <n v="6"/>
    <n v="2023"/>
    <s v="Monday"/>
    <x v="0"/>
    <n v="6"/>
    <n v="65608.399999999994"/>
    <s v="Vinod Prasad"/>
    <n v="41"/>
    <x v="9"/>
    <s v="UPI"/>
    <n v="4"/>
    <s v="Mi 11"/>
  </r>
  <r>
    <n v="2181"/>
    <n v="20"/>
    <n v="6"/>
    <n v="2023"/>
    <s v="Tuesday"/>
    <x v="1"/>
    <n v="5"/>
    <n v="32522.639999999999"/>
    <s v="Pooja Goyal"/>
    <n v="59"/>
    <x v="4"/>
    <s v="Cash"/>
    <n v="5"/>
    <s v="Vivo V20"/>
  </r>
  <r>
    <n v="2182"/>
    <n v="20"/>
    <n v="6"/>
    <n v="2023"/>
    <s v="Tuesday"/>
    <x v="1"/>
    <n v="7"/>
    <n v="24495.1"/>
    <s v="Pooja Joshi"/>
    <n v="23"/>
    <x v="1"/>
    <s v="Credit Card"/>
    <n v="2"/>
    <s v="Vivo Y51"/>
  </r>
  <r>
    <n v="2183"/>
    <n v="20"/>
    <n v="6"/>
    <n v="2023"/>
    <s v="Tuesday"/>
    <x v="2"/>
    <n v="2"/>
    <n v="43292.02"/>
    <s v="Yogesh Menon"/>
    <n v="20"/>
    <x v="5"/>
    <s v="Debit Card"/>
    <n v="2"/>
    <s v="OnePlus 9"/>
  </r>
  <r>
    <n v="2184"/>
    <n v="21"/>
    <n v="6"/>
    <n v="2023"/>
    <s v="Wednesday"/>
    <x v="0"/>
    <n v="5"/>
    <n v="57771.16"/>
    <s v="Amit Ahuja"/>
    <n v="51"/>
    <x v="17"/>
    <s v="Cash"/>
    <n v="4"/>
    <s v="Redmi Note 10"/>
  </r>
  <r>
    <n v="2185"/>
    <n v="21"/>
    <n v="6"/>
    <n v="2023"/>
    <s v="Wednesday"/>
    <x v="3"/>
    <n v="3"/>
    <n v="10226.06"/>
    <s v="Rajesh Chaudhary"/>
    <n v="19"/>
    <x v="18"/>
    <s v="UPI"/>
    <n v="4"/>
    <s v="Galaxy A51"/>
  </r>
  <r>
    <n v="2186"/>
    <n v="21"/>
    <n v="6"/>
    <n v="2023"/>
    <s v="Wednesday"/>
    <x v="3"/>
    <n v="9"/>
    <n v="47882.65"/>
    <s v="Bhavana Rawat"/>
    <n v="32"/>
    <x v="1"/>
    <s v="Credit Card"/>
    <n v="4"/>
    <s v="Galaxy Note 20"/>
  </r>
  <r>
    <n v="2187"/>
    <n v="21"/>
    <n v="6"/>
    <n v="2023"/>
    <s v="Wednesday"/>
    <x v="4"/>
    <n v="6"/>
    <n v="45790.96"/>
    <s v="Anita Joshi"/>
    <n v="54"/>
    <x v="10"/>
    <s v="Debit Card"/>
    <n v="1"/>
    <s v="iPhone SE"/>
  </r>
  <r>
    <n v="2188"/>
    <n v="22"/>
    <n v="6"/>
    <n v="2023"/>
    <s v="Thursday"/>
    <x v="4"/>
    <n v="3"/>
    <n v="29089.13"/>
    <s v="Prashant Dutta"/>
    <n v="32"/>
    <x v="6"/>
    <s v="Debit Card"/>
    <n v="4"/>
    <s v="iPhone 12"/>
  </r>
  <r>
    <n v="2189"/>
    <n v="22"/>
    <n v="6"/>
    <n v="2023"/>
    <s v="Thursday"/>
    <x v="3"/>
    <n v="7"/>
    <n v="37085.379999999997"/>
    <s v="Vivek Pathak"/>
    <n v="49"/>
    <x v="1"/>
    <s v="Cash"/>
    <n v="4"/>
    <s v="Galaxy Note 20"/>
  </r>
  <r>
    <n v="2190"/>
    <n v="22"/>
    <n v="6"/>
    <n v="2023"/>
    <s v="Thursday"/>
    <x v="1"/>
    <n v="4"/>
    <n v="24817.79"/>
    <s v="Kiran Patel"/>
    <n v="38"/>
    <x v="0"/>
    <s v="Debit Card"/>
    <n v="4"/>
    <s v="Vivo Y51"/>
  </r>
  <r>
    <n v="2191"/>
    <n v="22"/>
    <n v="6"/>
    <n v="2023"/>
    <s v="Thursday"/>
    <x v="1"/>
    <n v="3"/>
    <n v="57393.14"/>
    <s v="Sumit Chatterjee"/>
    <n v="34"/>
    <x v="2"/>
    <s v="UPI"/>
    <n v="4"/>
    <s v="Vivo V20"/>
  </r>
  <r>
    <n v="2192"/>
    <n v="23"/>
    <n v="6"/>
    <n v="2023"/>
    <s v="Friday"/>
    <x v="4"/>
    <n v="8"/>
    <n v="48072.1"/>
    <s v="Pooja Arora"/>
    <n v="51"/>
    <x v="1"/>
    <s v="Debit Card"/>
    <n v="5"/>
    <s v="iPhone SE"/>
  </r>
  <r>
    <n v="2193"/>
    <n v="23"/>
    <n v="6"/>
    <n v="2023"/>
    <s v="Friday"/>
    <x v="2"/>
    <n v="4"/>
    <n v="41962.7"/>
    <s v="Arun Ghosh"/>
    <n v="49"/>
    <x v="16"/>
    <s v="Cash"/>
    <n v="4"/>
    <s v="OnePlus 9"/>
  </r>
  <r>
    <n v="2194"/>
    <n v="23"/>
    <n v="6"/>
    <n v="2023"/>
    <s v="Friday"/>
    <x v="3"/>
    <n v="1"/>
    <n v="33551.57"/>
    <s v="Deepika Prasad"/>
    <n v="40"/>
    <x v="17"/>
    <s v="Debit Card"/>
    <n v="5"/>
    <s v="Galaxy Note 20"/>
  </r>
  <r>
    <n v="2195"/>
    <n v="24"/>
    <n v="6"/>
    <n v="2023"/>
    <s v="Saturday"/>
    <x v="4"/>
    <n v="6"/>
    <n v="27483.06"/>
    <s v="Devendra Thakur"/>
    <n v="52"/>
    <x v="2"/>
    <s v="Cash"/>
    <n v="4"/>
    <s v="iPhone 11"/>
  </r>
  <r>
    <n v="2196"/>
    <n v="24"/>
    <n v="6"/>
    <n v="2023"/>
    <s v="Saturday"/>
    <x v="4"/>
    <n v="1"/>
    <n v="59364.19"/>
    <s v="Pankaj Shah"/>
    <n v="54"/>
    <x v="17"/>
    <s v="Debit Card"/>
    <n v="1"/>
    <s v="iPhone 11"/>
  </r>
  <r>
    <n v="2197"/>
    <n v="24"/>
    <n v="6"/>
    <n v="2023"/>
    <s v="Saturday"/>
    <x v="3"/>
    <n v="5"/>
    <n v="37084.46"/>
    <s v="Mala Goyal"/>
    <n v="58"/>
    <x v="1"/>
    <s v="Credit Card"/>
    <n v="2"/>
    <s v="Galaxy S21"/>
  </r>
  <r>
    <n v="2198"/>
    <n v="24"/>
    <n v="6"/>
    <n v="2023"/>
    <s v="Saturday"/>
    <x v="3"/>
    <n v="7"/>
    <n v="40086.85"/>
    <s v="Manoj Luthra"/>
    <n v="54"/>
    <x v="15"/>
    <s v="Cash"/>
    <n v="2"/>
    <s v="Galaxy Note 20"/>
  </r>
  <r>
    <n v="2199"/>
    <n v="25"/>
    <n v="6"/>
    <n v="2023"/>
    <s v="Sunday"/>
    <x v="1"/>
    <n v="6"/>
    <n v="41249.72"/>
    <s v="Pooja Sharma"/>
    <n v="50"/>
    <x v="13"/>
    <s v="UPI"/>
    <n v="2"/>
    <s v="Vivo Y51"/>
  </r>
  <r>
    <n v="2200"/>
    <n v="25"/>
    <n v="6"/>
    <n v="2023"/>
    <s v="Sunday"/>
    <x v="2"/>
    <n v="2"/>
    <n v="36902.019999999997"/>
    <s v="Ravi Solanki"/>
    <n v="42"/>
    <x v="1"/>
    <s v="UPI"/>
    <n v="2"/>
    <s v="OnePlus Nord"/>
  </r>
  <r>
    <n v="2201"/>
    <n v="25"/>
    <n v="6"/>
    <n v="2023"/>
    <s v="Sunday"/>
    <x v="2"/>
    <n v="4"/>
    <n v="25365.31"/>
    <s v="Rajesh Mishra"/>
    <n v="54"/>
    <x v="14"/>
    <s v="Debit Card"/>
    <n v="4"/>
    <s v="OnePlus Nord"/>
  </r>
  <r>
    <n v="2202"/>
    <n v="26"/>
    <n v="6"/>
    <n v="2023"/>
    <s v="Monday"/>
    <x v="3"/>
    <n v="2"/>
    <n v="17220.43"/>
    <s v="Amit Das"/>
    <n v="57"/>
    <x v="2"/>
    <s v="Credit Card"/>
    <n v="2"/>
    <s v="Galaxy Note 20"/>
  </r>
  <r>
    <n v="2203"/>
    <n v="26"/>
    <n v="6"/>
    <n v="2023"/>
    <s v="Monday"/>
    <x v="0"/>
    <n v="1"/>
    <n v="15912.24"/>
    <s v="Anand Siddiqui"/>
    <n v="38"/>
    <x v="2"/>
    <s v="Debit Card"/>
    <n v="4"/>
    <s v="Redmi 9"/>
  </r>
  <r>
    <n v="2204"/>
    <n v="26"/>
    <n v="6"/>
    <n v="2023"/>
    <s v="Monday"/>
    <x v="4"/>
    <n v="3"/>
    <n v="55447.75"/>
    <s v="Bina Solanki"/>
    <n v="55"/>
    <x v="17"/>
    <s v="Debit Card"/>
    <n v="1"/>
    <s v="iPhone 12"/>
  </r>
  <r>
    <n v="2205"/>
    <n v="26"/>
    <n v="6"/>
    <n v="2023"/>
    <s v="Monday"/>
    <x v="4"/>
    <n v="3"/>
    <n v="23411.67"/>
    <s v="Kavita Nair"/>
    <n v="57"/>
    <x v="5"/>
    <s v="Credit Card"/>
    <n v="4"/>
    <s v="iPhone SE"/>
  </r>
  <r>
    <n v="2206"/>
    <n v="27"/>
    <n v="6"/>
    <n v="2023"/>
    <s v="Tuesday"/>
    <x v="3"/>
    <n v="7"/>
    <n v="13340.37"/>
    <s v="Isha Desai"/>
    <n v="51"/>
    <x v="11"/>
    <s v="Cash"/>
    <n v="4"/>
    <s v="Galaxy A51"/>
  </r>
  <r>
    <n v="2207"/>
    <n v="27"/>
    <n v="6"/>
    <n v="2023"/>
    <s v="Tuesday"/>
    <x v="0"/>
    <n v="1"/>
    <n v="57851.040000000001"/>
    <s v="Anjali Alva"/>
    <n v="36"/>
    <x v="2"/>
    <s v="UPI"/>
    <n v="4"/>
    <s v="Redmi 9"/>
  </r>
  <r>
    <n v="2208"/>
    <n v="27"/>
    <n v="6"/>
    <n v="2023"/>
    <s v="Tuesday"/>
    <x v="1"/>
    <n v="9"/>
    <n v="19243.7"/>
    <s v="Vivek Patel"/>
    <n v="44"/>
    <x v="2"/>
    <s v="Credit Card"/>
    <n v="4"/>
    <s v="Vivo S1"/>
  </r>
  <r>
    <n v="2209"/>
    <n v="28"/>
    <n v="6"/>
    <n v="2023"/>
    <s v="Wednesday"/>
    <x v="3"/>
    <n v="6"/>
    <n v="47508.77"/>
    <s v="Mala Siddiqui"/>
    <n v="26"/>
    <x v="2"/>
    <s v="Debit Card"/>
    <n v="4"/>
    <s v="Galaxy S21"/>
  </r>
  <r>
    <n v="2210"/>
    <n v="28"/>
    <n v="6"/>
    <n v="2023"/>
    <s v="Wednesday"/>
    <x v="3"/>
    <n v="4"/>
    <n v="30318.6"/>
    <s v="Priyanka Pillai"/>
    <n v="22"/>
    <x v="1"/>
    <s v="Cash"/>
    <n v="4"/>
    <s v="Galaxy A51"/>
  </r>
  <r>
    <n v="2211"/>
    <n v="28"/>
    <n v="6"/>
    <n v="2023"/>
    <s v="Wednesday"/>
    <x v="4"/>
    <n v="3"/>
    <n v="17588.82"/>
    <s v="Mala Chatterjee"/>
    <n v="22"/>
    <x v="1"/>
    <s v="Debit Card"/>
    <n v="1"/>
    <s v="iPhone 11"/>
  </r>
  <r>
    <n v="2212"/>
    <n v="28"/>
    <n v="6"/>
    <n v="2023"/>
    <s v="Wednesday"/>
    <x v="3"/>
    <n v="3"/>
    <n v="34868.86"/>
    <s v="Bhavana Mishra"/>
    <n v="42"/>
    <x v="0"/>
    <s v="Cash"/>
    <n v="5"/>
    <s v="Galaxy A51"/>
  </r>
  <r>
    <n v="2213"/>
    <n v="29"/>
    <n v="6"/>
    <n v="2023"/>
    <s v="Thursday"/>
    <x v="3"/>
    <n v="2"/>
    <n v="10888.53"/>
    <s v="Sunil Kumar"/>
    <n v="43"/>
    <x v="15"/>
    <s v="UPI"/>
    <n v="4"/>
    <s v="Galaxy A51"/>
  </r>
  <r>
    <n v="2214"/>
    <n v="29"/>
    <n v="6"/>
    <n v="2023"/>
    <s v="Thursday"/>
    <x v="3"/>
    <n v="2"/>
    <n v="60462.7"/>
    <s v="Anjali Rao"/>
    <n v="36"/>
    <x v="17"/>
    <s v="UPI"/>
    <n v="4"/>
    <s v="Galaxy Note 20"/>
  </r>
  <r>
    <n v="2215"/>
    <n v="29"/>
    <n v="6"/>
    <n v="2023"/>
    <s v="Thursday"/>
    <x v="4"/>
    <n v="5"/>
    <n v="40809.879999999997"/>
    <s v="Sumit Teja"/>
    <n v="47"/>
    <x v="1"/>
    <s v="Cash"/>
    <n v="4"/>
    <s v="iPhone 12"/>
  </r>
  <r>
    <n v="2216"/>
    <n v="30"/>
    <n v="6"/>
    <n v="2023"/>
    <s v="Friday"/>
    <x v="1"/>
    <n v="9"/>
    <n v="18349.599999999999"/>
    <s v="Shruti Mehta"/>
    <n v="53"/>
    <x v="0"/>
    <s v="UPI"/>
    <n v="2"/>
    <s v="Vivo Y51"/>
  </r>
  <r>
    <n v="2217"/>
    <n v="30"/>
    <n v="6"/>
    <n v="2023"/>
    <s v="Friday"/>
    <x v="1"/>
    <n v="2"/>
    <n v="24218.82"/>
    <s v="Sachin Iyer"/>
    <n v="33"/>
    <x v="7"/>
    <s v="Debit Card"/>
    <n v="2"/>
    <s v="Vivo Y51"/>
  </r>
  <r>
    <n v="2218"/>
    <n v="30"/>
    <n v="6"/>
    <n v="2023"/>
    <s v="Friday"/>
    <x v="3"/>
    <n v="2"/>
    <n v="36878.51"/>
    <s v="Pooja Thakur"/>
    <n v="24"/>
    <x v="1"/>
    <s v="Cash"/>
    <n v="1"/>
    <s v="Galaxy Note 20"/>
  </r>
  <r>
    <n v="2219"/>
    <n v="1"/>
    <n v="7"/>
    <n v="2023"/>
    <s v="Saturday"/>
    <x v="4"/>
    <n v="6"/>
    <n v="21332.16"/>
    <s v="Ravi Gupta"/>
    <n v="35"/>
    <x v="0"/>
    <s v="Debit Card"/>
    <n v="2"/>
    <s v="iPhone 11"/>
  </r>
  <r>
    <n v="2220"/>
    <n v="1"/>
    <n v="7"/>
    <n v="2023"/>
    <s v="Saturday"/>
    <x v="1"/>
    <n v="2"/>
    <n v="26115.95"/>
    <s v="Sumit Malhotra"/>
    <n v="38"/>
    <x v="7"/>
    <s v="Cash"/>
    <n v="5"/>
    <s v="Vivo S1"/>
  </r>
  <r>
    <n v="2221"/>
    <n v="1"/>
    <n v="7"/>
    <n v="2023"/>
    <s v="Saturday"/>
    <x v="1"/>
    <n v="4"/>
    <n v="42063.13"/>
    <s v="Priyanka Dutta"/>
    <n v="48"/>
    <x v="1"/>
    <s v="Debit Card"/>
    <n v="4"/>
    <s v="Vivo S1"/>
  </r>
  <r>
    <n v="2222"/>
    <n v="2"/>
    <n v="7"/>
    <n v="2023"/>
    <s v="Sunday"/>
    <x v="1"/>
    <n v="6"/>
    <n v="59956.54"/>
    <s v="Amit Sheth"/>
    <n v="18"/>
    <x v="1"/>
    <s v="UPI"/>
    <n v="1"/>
    <s v="Vivo S1"/>
  </r>
  <r>
    <n v="2223"/>
    <n v="2"/>
    <n v="7"/>
    <n v="2023"/>
    <s v="Sunday"/>
    <x v="4"/>
    <n v="5"/>
    <n v="34110.379999999997"/>
    <s v="Anita Mathur"/>
    <n v="20"/>
    <x v="5"/>
    <s v="Credit Card"/>
    <n v="2"/>
    <s v="iPhone SE"/>
  </r>
  <r>
    <n v="2224"/>
    <n v="2"/>
    <n v="7"/>
    <n v="2023"/>
    <s v="Sunday"/>
    <x v="4"/>
    <n v="1"/>
    <n v="53018.52"/>
    <s v="Isha Menon"/>
    <n v="48"/>
    <x v="13"/>
    <s v="Debit Card"/>
    <n v="2"/>
    <s v="iPhone 12"/>
  </r>
  <r>
    <n v="2225"/>
    <n v="2"/>
    <n v="7"/>
    <n v="2023"/>
    <s v="Sunday"/>
    <x v="3"/>
    <n v="6"/>
    <n v="62601.05"/>
    <s v="Neeta Mathur"/>
    <n v="42"/>
    <x v="18"/>
    <s v="Cash"/>
    <n v="4"/>
    <s v="Galaxy A51"/>
  </r>
  <r>
    <n v="2226"/>
    <n v="3"/>
    <n v="7"/>
    <n v="2023"/>
    <s v="Monday"/>
    <x v="2"/>
    <n v="1"/>
    <n v="22978.06"/>
    <s v="Lata Verma"/>
    <n v="25"/>
    <x v="7"/>
    <s v="UPI"/>
    <n v="1"/>
    <s v="OnePlus Nord"/>
  </r>
  <r>
    <n v="2227"/>
    <n v="3"/>
    <n v="7"/>
    <n v="2023"/>
    <s v="Monday"/>
    <x v="1"/>
    <n v="3"/>
    <n v="58431.519999999997"/>
    <s v="Rajesh Yadav"/>
    <n v="18"/>
    <x v="12"/>
    <s v="Cash"/>
    <n v="4"/>
    <s v="Vivo V20"/>
  </r>
  <r>
    <n v="2228"/>
    <n v="3"/>
    <n v="7"/>
    <n v="2023"/>
    <s v="Monday"/>
    <x v="2"/>
    <n v="5"/>
    <n v="55444.13"/>
    <s v="Kiran Gupta"/>
    <n v="24"/>
    <x v="10"/>
    <s v="Debit Card"/>
    <n v="1"/>
    <s v="OnePlus 8T"/>
  </r>
  <r>
    <n v="2229"/>
    <n v="4"/>
    <n v="7"/>
    <n v="2023"/>
    <s v="Tuesday"/>
    <x v="4"/>
    <n v="5"/>
    <n v="31416.240000000002"/>
    <s v="Vijay Siddiqui"/>
    <n v="24"/>
    <x v="4"/>
    <s v="Cash"/>
    <n v="2"/>
    <s v="iPhone SE"/>
  </r>
  <r>
    <n v="2230"/>
    <n v="4"/>
    <n v="7"/>
    <n v="2023"/>
    <s v="Tuesday"/>
    <x v="4"/>
    <n v="6"/>
    <n v="69371.199999999997"/>
    <s v="Reena Dutta"/>
    <n v="25"/>
    <x v="1"/>
    <s v="Cash"/>
    <n v="4"/>
    <s v="iPhone SE"/>
  </r>
  <r>
    <n v="2231"/>
    <n v="4"/>
    <n v="7"/>
    <n v="2023"/>
    <s v="Tuesday"/>
    <x v="4"/>
    <n v="8"/>
    <n v="25754.34"/>
    <s v="Pooja Ahuja"/>
    <n v="36"/>
    <x v="15"/>
    <s v="Debit Card"/>
    <n v="4"/>
    <s v="iPhone 11"/>
  </r>
  <r>
    <n v="2232"/>
    <n v="5"/>
    <n v="7"/>
    <n v="2023"/>
    <s v="Wednesday"/>
    <x v="2"/>
    <n v="5"/>
    <n v="25288.2"/>
    <s v="Neeta Desai"/>
    <n v="34"/>
    <x v="15"/>
    <s v="UPI"/>
    <n v="5"/>
    <s v="OnePlus Nord"/>
  </r>
  <r>
    <n v="2233"/>
    <n v="5"/>
    <n v="7"/>
    <n v="2023"/>
    <s v="Wednesday"/>
    <x v="4"/>
    <n v="1"/>
    <n v="56335.55"/>
    <s v="Rohan Pathak"/>
    <n v="28"/>
    <x v="2"/>
    <s v="UPI"/>
    <n v="4"/>
    <s v="iPhone 11"/>
  </r>
  <r>
    <n v="2234"/>
    <n v="5"/>
    <n v="7"/>
    <n v="2023"/>
    <s v="Wednesday"/>
    <x v="3"/>
    <n v="5"/>
    <n v="36079.440000000002"/>
    <s v="Deepika Das"/>
    <n v="58"/>
    <x v="4"/>
    <s v="Debit Card"/>
    <n v="1"/>
    <s v="Galaxy Note 20"/>
  </r>
  <r>
    <n v="2235"/>
    <n v="5"/>
    <n v="7"/>
    <n v="2023"/>
    <s v="Wednesday"/>
    <x v="4"/>
    <n v="3"/>
    <n v="29847.7"/>
    <s v="Sanjay Das"/>
    <n v="28"/>
    <x v="1"/>
    <s v="UPI"/>
    <n v="5"/>
    <s v="iPhone 11"/>
  </r>
  <r>
    <n v="2236"/>
    <n v="6"/>
    <n v="7"/>
    <n v="2023"/>
    <s v="Thursday"/>
    <x v="0"/>
    <n v="4"/>
    <n v="20719.77"/>
    <s v="Manoj Siddiqui"/>
    <n v="55"/>
    <x v="7"/>
    <s v="Credit Card"/>
    <n v="4"/>
    <s v="Redmi 9"/>
  </r>
  <r>
    <n v="2237"/>
    <n v="6"/>
    <n v="7"/>
    <n v="2023"/>
    <s v="Thursday"/>
    <x v="2"/>
    <n v="8"/>
    <n v="55919.95"/>
    <s v="Pooja Patel"/>
    <n v="58"/>
    <x v="11"/>
    <s v="Cash"/>
    <n v="4"/>
    <s v="OnePlus 8T"/>
  </r>
  <r>
    <n v="2238"/>
    <n v="6"/>
    <n v="7"/>
    <n v="2023"/>
    <s v="Thursday"/>
    <x v="0"/>
    <n v="7"/>
    <n v="57179.31"/>
    <s v="Namita Malhotra"/>
    <n v="19"/>
    <x v="1"/>
    <s v="Debit Card"/>
    <n v="5"/>
    <s v="Redmi 9"/>
  </r>
  <r>
    <n v="2239"/>
    <n v="6"/>
    <n v="7"/>
    <n v="2023"/>
    <s v="Thursday"/>
    <x v="4"/>
    <n v="5"/>
    <n v="43993.84"/>
    <s v="Pankaj Patel"/>
    <n v="21"/>
    <x v="18"/>
    <s v="Credit Card"/>
    <n v="2"/>
    <s v="iPhone 12"/>
  </r>
  <r>
    <n v="2240"/>
    <n v="7"/>
    <n v="7"/>
    <n v="2023"/>
    <s v="Friday"/>
    <x v="3"/>
    <n v="2"/>
    <n v="67438.820000000007"/>
    <s v="Prashant Roy"/>
    <n v="45"/>
    <x v="2"/>
    <s v="Cash"/>
    <n v="4"/>
    <s v="Galaxy Note 20"/>
  </r>
  <r>
    <n v="2241"/>
    <n v="7"/>
    <n v="7"/>
    <n v="2023"/>
    <s v="Friday"/>
    <x v="1"/>
    <n v="6"/>
    <n v="29089.8"/>
    <s v="Radha Alva"/>
    <n v="50"/>
    <x v="6"/>
    <s v="Debit Card"/>
    <n v="4"/>
    <s v="Vivo S1"/>
  </r>
  <r>
    <n v="2242"/>
    <n v="7"/>
    <n v="7"/>
    <n v="2023"/>
    <s v="Friday"/>
    <x v="4"/>
    <n v="6"/>
    <n v="23177.14"/>
    <s v="Sunil Reddy"/>
    <n v="28"/>
    <x v="8"/>
    <s v="UPI"/>
    <n v="2"/>
    <s v="iPhone 11"/>
  </r>
  <r>
    <n v="2243"/>
    <n v="8"/>
    <n v="7"/>
    <n v="2023"/>
    <s v="Saturday"/>
    <x v="3"/>
    <n v="6"/>
    <n v="50648.01"/>
    <s v="Umesh Kulkarni"/>
    <n v="20"/>
    <x v="9"/>
    <s v="Debit Card"/>
    <n v="4"/>
    <s v="Galaxy A51"/>
  </r>
  <r>
    <n v="2244"/>
    <n v="8"/>
    <n v="7"/>
    <n v="2023"/>
    <s v="Saturday"/>
    <x v="2"/>
    <n v="9"/>
    <n v="55504.52"/>
    <s v="Sunita Mehta"/>
    <n v="57"/>
    <x v="9"/>
    <s v="Debit Card"/>
    <n v="2"/>
    <s v="OnePlus Nord"/>
  </r>
  <r>
    <n v="2245"/>
    <n v="8"/>
    <n v="7"/>
    <n v="2023"/>
    <s v="Saturday"/>
    <x v="0"/>
    <n v="8"/>
    <n v="23494.36"/>
    <s v="Pooja Thakur"/>
    <n v="22"/>
    <x v="2"/>
    <s v="Cash"/>
    <n v="2"/>
    <s v="Redmi Note 10"/>
  </r>
  <r>
    <n v="2246"/>
    <n v="9"/>
    <n v="7"/>
    <n v="2023"/>
    <s v="Sunday"/>
    <x v="0"/>
    <n v="8"/>
    <n v="14596.65"/>
    <s v="Amit Joshi"/>
    <n v="38"/>
    <x v="2"/>
    <s v="Cash"/>
    <n v="2"/>
    <s v="Mi 11"/>
  </r>
  <r>
    <n v="2247"/>
    <n v="9"/>
    <n v="7"/>
    <n v="2023"/>
    <s v="Sunday"/>
    <x v="0"/>
    <n v="1"/>
    <n v="58630.99"/>
    <s v="Sneha Ghosh"/>
    <n v="39"/>
    <x v="13"/>
    <s v="Cash"/>
    <n v="5"/>
    <s v="Redmi 9"/>
  </r>
  <r>
    <n v="2248"/>
    <n v="9"/>
    <n v="7"/>
    <n v="2023"/>
    <s v="Sunday"/>
    <x v="2"/>
    <n v="5"/>
    <n v="68590.12"/>
    <s v="Ravi Siddiqui"/>
    <n v="54"/>
    <x v="11"/>
    <s v="Credit Card"/>
    <n v="4"/>
    <s v="OnePlus 9"/>
  </r>
  <r>
    <n v="2249"/>
    <n v="9"/>
    <n v="7"/>
    <n v="2023"/>
    <s v="Sunday"/>
    <x v="3"/>
    <n v="7"/>
    <n v="48680.34"/>
    <s v="Amit Ghosh"/>
    <n v="28"/>
    <x v="7"/>
    <s v="UPI"/>
    <n v="2"/>
    <s v="Galaxy A51"/>
  </r>
  <r>
    <n v="2250"/>
    <n v="10"/>
    <n v="7"/>
    <n v="2023"/>
    <s v="Monday"/>
    <x v="2"/>
    <n v="6"/>
    <n v="26672.01"/>
    <s v="Bhavana Srivastava"/>
    <n v="39"/>
    <x v="16"/>
    <s v="Debit Card"/>
    <n v="4"/>
    <s v="OnePlus Nord"/>
  </r>
  <r>
    <n v="2251"/>
    <n v="10"/>
    <n v="7"/>
    <n v="2023"/>
    <s v="Monday"/>
    <x v="0"/>
    <n v="5"/>
    <n v="69800.36"/>
    <s v="Harish Solanki"/>
    <n v="58"/>
    <x v="8"/>
    <s v="Debit Card"/>
    <n v="2"/>
    <s v="Redmi Note 10"/>
  </r>
  <r>
    <n v="2252"/>
    <n v="10"/>
    <n v="7"/>
    <n v="2023"/>
    <s v="Monday"/>
    <x v="4"/>
    <n v="8"/>
    <n v="63596"/>
    <s v="Umesh Ghosh"/>
    <n v="30"/>
    <x v="11"/>
    <s v="UPI"/>
    <n v="2"/>
    <s v="iPhone 11"/>
  </r>
  <r>
    <n v="2253"/>
    <n v="10"/>
    <n v="7"/>
    <n v="2023"/>
    <s v="Monday"/>
    <x v="1"/>
    <n v="3"/>
    <n v="40802.839999999997"/>
    <s v="Mala Chatterjee"/>
    <n v="20"/>
    <x v="15"/>
    <s v="Debit Card"/>
    <n v="2"/>
    <s v="Vivo V20"/>
  </r>
  <r>
    <n v="2254"/>
    <n v="11"/>
    <n v="7"/>
    <n v="2023"/>
    <s v="Tuesday"/>
    <x v="2"/>
    <n v="6"/>
    <n v="59519.28"/>
    <s v="Anjali Varma"/>
    <n v="30"/>
    <x v="1"/>
    <s v="Cash"/>
    <n v="5"/>
    <s v="OnePlus 8T"/>
  </r>
  <r>
    <n v="2255"/>
    <n v="11"/>
    <n v="7"/>
    <n v="2023"/>
    <s v="Tuesday"/>
    <x v="2"/>
    <n v="5"/>
    <n v="58949.23"/>
    <s v="Navin Verma"/>
    <n v="45"/>
    <x v="1"/>
    <s v="Debit Card"/>
    <n v="2"/>
    <s v="OnePlus Nord"/>
  </r>
  <r>
    <n v="2256"/>
    <n v="11"/>
    <n v="7"/>
    <n v="2023"/>
    <s v="Tuesday"/>
    <x v="3"/>
    <n v="8"/>
    <n v="66087.94"/>
    <s v="Amit Srivastava"/>
    <n v="28"/>
    <x v="2"/>
    <s v="UPI"/>
    <n v="2"/>
    <s v="Galaxy A51"/>
  </r>
  <r>
    <n v="2257"/>
    <n v="11"/>
    <n v="7"/>
    <n v="2023"/>
    <s v="Tuesday"/>
    <x v="3"/>
    <n v="4"/>
    <n v="60455.43"/>
    <s v="Neeta Sharma"/>
    <n v="28"/>
    <x v="7"/>
    <s v="Credit Card"/>
    <n v="2"/>
    <s v="Galaxy S21"/>
  </r>
  <r>
    <n v="2258"/>
    <n v="12"/>
    <n v="7"/>
    <n v="2023"/>
    <s v="Wednesday"/>
    <x v="2"/>
    <n v="8"/>
    <n v="48620.75"/>
    <s v="Pankaj Sheth"/>
    <n v="38"/>
    <x v="18"/>
    <s v="Credit Card"/>
    <n v="2"/>
    <s v="OnePlus 9"/>
  </r>
  <r>
    <n v="2259"/>
    <n v="12"/>
    <n v="7"/>
    <n v="2023"/>
    <s v="Wednesday"/>
    <x v="0"/>
    <n v="2"/>
    <n v="46558.22"/>
    <s v="Kiran Deshmukh"/>
    <n v="38"/>
    <x v="2"/>
    <s v="UPI"/>
    <n v="2"/>
    <s v="Redmi Note 10"/>
  </r>
  <r>
    <n v="2260"/>
    <n v="12"/>
    <n v="7"/>
    <n v="2023"/>
    <s v="Wednesday"/>
    <x v="1"/>
    <n v="9"/>
    <n v="38041.440000000002"/>
    <s v="Kavita Gupta"/>
    <n v="24"/>
    <x v="2"/>
    <s v="Debit Card"/>
    <n v="2"/>
    <s v="Vivo S1"/>
  </r>
  <r>
    <n v="2261"/>
    <n v="12"/>
    <n v="7"/>
    <n v="2023"/>
    <s v="Wednesday"/>
    <x v="3"/>
    <n v="9"/>
    <n v="47589.14"/>
    <s v="Jyoti Mehta"/>
    <n v="34"/>
    <x v="13"/>
    <s v="Debit Card"/>
    <n v="4"/>
    <s v="Galaxy Note 20"/>
  </r>
  <r>
    <n v="2262"/>
    <n v="13"/>
    <n v="7"/>
    <n v="2023"/>
    <s v="Thursday"/>
    <x v="0"/>
    <n v="6"/>
    <n v="57713"/>
    <s v="Sumit Roy"/>
    <n v="31"/>
    <x v="14"/>
    <s v="Credit Card"/>
    <n v="2"/>
    <s v="Redmi Note 10"/>
  </r>
  <r>
    <n v="2263"/>
    <n v="13"/>
    <n v="7"/>
    <n v="2023"/>
    <s v="Thursday"/>
    <x v="4"/>
    <n v="4"/>
    <n v="68142.259999999995"/>
    <s v="Kiran Singh"/>
    <n v="50"/>
    <x v="2"/>
    <s v="Debit Card"/>
    <n v="2"/>
    <s v="iPhone 11"/>
  </r>
  <r>
    <n v="2264"/>
    <n v="13"/>
    <n v="7"/>
    <n v="2023"/>
    <s v="Thursday"/>
    <x v="3"/>
    <n v="4"/>
    <n v="38037.24"/>
    <s v="Bhavana Sheth"/>
    <n v="28"/>
    <x v="6"/>
    <s v="Credit Card"/>
    <n v="5"/>
    <s v="Galaxy S21"/>
  </r>
  <r>
    <n v="2265"/>
    <n v="13"/>
    <n v="7"/>
    <n v="2023"/>
    <s v="Thursday"/>
    <x v="0"/>
    <n v="6"/>
    <n v="44419.19"/>
    <s v="Meena Dutta"/>
    <n v="30"/>
    <x v="8"/>
    <s v="UPI"/>
    <n v="2"/>
    <s v="Redmi Note 10"/>
  </r>
  <r>
    <n v="2266"/>
    <n v="14"/>
    <n v="7"/>
    <n v="2023"/>
    <s v="Friday"/>
    <x v="0"/>
    <n v="5"/>
    <n v="36688.33"/>
    <s v="Aditya Nair"/>
    <n v="18"/>
    <x v="16"/>
    <s v="UPI"/>
    <n v="5"/>
    <s v="Redmi Note 10"/>
  </r>
  <r>
    <n v="2267"/>
    <n v="14"/>
    <n v="7"/>
    <n v="2023"/>
    <s v="Friday"/>
    <x v="1"/>
    <n v="6"/>
    <n v="50109.32"/>
    <s v="Nikhil Ahuja"/>
    <n v="51"/>
    <x v="1"/>
    <s v="Debit Card"/>
    <n v="3"/>
    <s v="Vivo V20"/>
  </r>
  <r>
    <n v="2268"/>
    <n v="14"/>
    <n v="7"/>
    <n v="2023"/>
    <s v="Friday"/>
    <x v="1"/>
    <n v="7"/>
    <n v="47795.23"/>
    <s v="Monika Kumar"/>
    <n v="26"/>
    <x v="2"/>
    <s v="Cash"/>
    <n v="5"/>
    <s v="Vivo S1"/>
  </r>
  <r>
    <n v="2269"/>
    <n v="15"/>
    <n v="7"/>
    <n v="2023"/>
    <s v="Saturday"/>
    <x v="4"/>
    <n v="7"/>
    <n v="11070.03"/>
    <s v="Isha Kaur"/>
    <n v="30"/>
    <x v="5"/>
    <s v="Cash"/>
    <n v="3"/>
    <s v="iPhone SE"/>
  </r>
  <r>
    <n v="2270"/>
    <n v="15"/>
    <n v="7"/>
    <n v="2023"/>
    <s v="Saturday"/>
    <x v="0"/>
    <n v="9"/>
    <n v="42469.69"/>
    <s v="Priyanka Mishra"/>
    <n v="54"/>
    <x v="1"/>
    <s v="Credit Card"/>
    <n v="3"/>
    <s v="Redmi Note 10"/>
  </r>
  <r>
    <n v="2271"/>
    <n v="15"/>
    <n v="7"/>
    <n v="2023"/>
    <s v="Saturday"/>
    <x v="0"/>
    <n v="8"/>
    <n v="15309.21"/>
    <s v="Sunil Jain"/>
    <n v="47"/>
    <x v="1"/>
    <s v="UPI"/>
    <n v="5"/>
    <s v="Redmi 9"/>
  </r>
  <r>
    <n v="2272"/>
    <n v="15"/>
    <n v="7"/>
    <n v="2023"/>
    <s v="Saturday"/>
    <x v="1"/>
    <n v="6"/>
    <n v="11583.02"/>
    <s v="Arun Iyer"/>
    <n v="58"/>
    <x v="1"/>
    <s v="Credit Card"/>
    <n v="4"/>
    <s v="Vivo S1"/>
  </r>
  <r>
    <n v="2273"/>
    <n v="16"/>
    <n v="7"/>
    <n v="2023"/>
    <s v="Sunday"/>
    <x v="3"/>
    <n v="6"/>
    <n v="57471.83"/>
    <s v="Manoj Kapoor"/>
    <n v="54"/>
    <x v="0"/>
    <s v="UPI"/>
    <n v="5"/>
    <s v="Galaxy A51"/>
  </r>
  <r>
    <n v="2274"/>
    <n v="16"/>
    <n v="7"/>
    <n v="2023"/>
    <s v="Sunday"/>
    <x v="3"/>
    <n v="5"/>
    <n v="25518.99"/>
    <s v="Anita Shah"/>
    <n v="24"/>
    <x v="2"/>
    <s v="Credit Card"/>
    <n v="2"/>
    <s v="Galaxy A51"/>
  </r>
  <r>
    <n v="2275"/>
    <n v="16"/>
    <n v="7"/>
    <n v="2023"/>
    <s v="Sunday"/>
    <x v="2"/>
    <n v="1"/>
    <n v="30439.3"/>
    <s v="Arun Siddiqui"/>
    <n v="31"/>
    <x v="14"/>
    <s v="Credit Card"/>
    <n v="5"/>
    <s v="OnePlus 8T"/>
  </r>
  <r>
    <n v="2276"/>
    <n v="17"/>
    <n v="7"/>
    <n v="2023"/>
    <s v="Monday"/>
    <x v="1"/>
    <n v="9"/>
    <n v="13845.08"/>
    <s v="Arun Yadav"/>
    <n v="23"/>
    <x v="14"/>
    <s v="Credit Card"/>
    <n v="4"/>
    <s v="Vivo Y51"/>
  </r>
  <r>
    <n v="2277"/>
    <n v="17"/>
    <n v="7"/>
    <n v="2023"/>
    <s v="Monday"/>
    <x v="2"/>
    <n v="9"/>
    <n v="20770.02"/>
    <s v="Prashant Arora"/>
    <n v="51"/>
    <x v="18"/>
    <s v="Debit Card"/>
    <n v="5"/>
    <s v="OnePlus Nord"/>
  </r>
  <r>
    <n v="2278"/>
    <n v="17"/>
    <n v="7"/>
    <n v="2023"/>
    <s v="Monday"/>
    <x v="1"/>
    <n v="9"/>
    <n v="55936.29"/>
    <s v="Sanjay Das"/>
    <n v="33"/>
    <x v="1"/>
    <s v="Cash"/>
    <n v="4"/>
    <s v="Vivo Y51"/>
  </r>
  <r>
    <n v="2279"/>
    <n v="18"/>
    <n v="7"/>
    <n v="2023"/>
    <s v="Tuesday"/>
    <x v="4"/>
    <n v="8"/>
    <n v="39611.85"/>
    <s v="Pankaj Nambiar"/>
    <n v="54"/>
    <x v="2"/>
    <s v="UPI"/>
    <n v="2"/>
    <s v="iPhone 12"/>
  </r>
  <r>
    <n v="2280"/>
    <n v="18"/>
    <n v="7"/>
    <n v="2023"/>
    <s v="Tuesday"/>
    <x v="0"/>
    <n v="3"/>
    <n v="62840.11"/>
    <s v="Jyoti Ahuja"/>
    <n v="53"/>
    <x v="1"/>
    <s v="Credit Card"/>
    <n v="2"/>
    <s v="Mi 11"/>
  </r>
  <r>
    <n v="2281"/>
    <n v="18"/>
    <n v="7"/>
    <n v="2023"/>
    <s v="Tuesday"/>
    <x v="4"/>
    <n v="1"/>
    <n v="33834.53"/>
    <s v="Monika Bhatnagar"/>
    <n v="23"/>
    <x v="2"/>
    <s v="Cash"/>
    <n v="4"/>
    <s v="iPhone 12"/>
  </r>
  <r>
    <n v="2282"/>
    <n v="19"/>
    <n v="7"/>
    <n v="2023"/>
    <s v="Wednesday"/>
    <x v="1"/>
    <n v="8"/>
    <n v="26122.04"/>
    <s v="Tanuja Rao"/>
    <n v="25"/>
    <x v="1"/>
    <s v="Credit Card"/>
    <n v="4"/>
    <s v="Vivo Y51"/>
  </r>
  <r>
    <n v="2283"/>
    <n v="19"/>
    <n v="7"/>
    <n v="2023"/>
    <s v="Wednesday"/>
    <x v="0"/>
    <n v="7"/>
    <n v="30855.99"/>
    <s v="Kunal Malhotra"/>
    <n v="41"/>
    <x v="1"/>
    <s v="Credit Card"/>
    <n v="4"/>
    <s v="Mi 11"/>
  </r>
  <r>
    <n v="2284"/>
    <n v="19"/>
    <n v="7"/>
    <n v="2023"/>
    <s v="Wednesday"/>
    <x v="3"/>
    <n v="5"/>
    <n v="52766.31"/>
    <s v="Rohan Jain"/>
    <n v="20"/>
    <x v="3"/>
    <s v="UPI"/>
    <n v="2"/>
    <s v="Galaxy S21"/>
  </r>
  <r>
    <n v="2285"/>
    <n v="19"/>
    <n v="7"/>
    <n v="2023"/>
    <s v="Wednesday"/>
    <x v="3"/>
    <n v="7"/>
    <n v="43300.34"/>
    <s v="Mala Verma"/>
    <n v="21"/>
    <x v="9"/>
    <s v="Debit Card"/>
    <n v="3"/>
    <s v="Galaxy S21"/>
  </r>
  <r>
    <n v="2286"/>
    <n v="20"/>
    <n v="7"/>
    <n v="2023"/>
    <s v="Thursday"/>
    <x v="2"/>
    <n v="4"/>
    <n v="64251.47"/>
    <s v="Prashant Mathur"/>
    <n v="49"/>
    <x v="12"/>
    <s v="Credit Card"/>
    <n v="4"/>
    <s v="OnePlus Nord"/>
  </r>
  <r>
    <n v="2287"/>
    <n v="20"/>
    <n v="7"/>
    <n v="2023"/>
    <s v="Thursday"/>
    <x v="1"/>
    <n v="9"/>
    <n v="46130.13"/>
    <s v="Pankaj Kapoor"/>
    <n v="18"/>
    <x v="9"/>
    <s v="UPI"/>
    <n v="2"/>
    <s v="Vivo Y51"/>
  </r>
  <r>
    <n v="2288"/>
    <n v="20"/>
    <n v="7"/>
    <n v="2023"/>
    <s v="Thursday"/>
    <x v="1"/>
    <n v="2"/>
    <n v="39581.089999999997"/>
    <s v="Isha Singh"/>
    <n v="51"/>
    <x v="1"/>
    <s v="Debit Card"/>
    <n v="2"/>
    <s v="Vivo V20"/>
  </r>
  <r>
    <n v="2289"/>
    <n v="21"/>
    <n v="7"/>
    <n v="2023"/>
    <s v="Friday"/>
    <x v="3"/>
    <n v="9"/>
    <n v="57145.16"/>
    <s v="Pooja Pathak"/>
    <n v="26"/>
    <x v="17"/>
    <s v="Debit Card"/>
    <n v="4"/>
    <s v="Galaxy A51"/>
  </r>
  <r>
    <n v="2290"/>
    <n v="21"/>
    <n v="7"/>
    <n v="2023"/>
    <s v="Friday"/>
    <x v="4"/>
    <n v="9"/>
    <n v="66852.03"/>
    <s v="Namita Deshmukh"/>
    <n v="29"/>
    <x v="8"/>
    <s v="Cash"/>
    <n v="3"/>
    <s v="iPhone 12"/>
  </r>
  <r>
    <n v="2291"/>
    <n v="21"/>
    <n v="7"/>
    <n v="2023"/>
    <s v="Friday"/>
    <x v="0"/>
    <n v="5"/>
    <n v="31350.75"/>
    <s v="Deepika Solanki"/>
    <n v="27"/>
    <x v="2"/>
    <s v="Cash"/>
    <n v="2"/>
    <s v="Redmi 9"/>
  </r>
  <r>
    <n v="2292"/>
    <n v="22"/>
    <n v="7"/>
    <n v="2023"/>
    <s v="Saturday"/>
    <x v="4"/>
    <n v="1"/>
    <n v="24992.57"/>
    <s v="Sneha Patel"/>
    <n v="27"/>
    <x v="6"/>
    <s v="Credit Card"/>
    <n v="2"/>
    <s v="iPhone SE"/>
  </r>
  <r>
    <n v="2293"/>
    <n v="22"/>
    <n v="7"/>
    <n v="2023"/>
    <s v="Saturday"/>
    <x v="4"/>
    <n v="7"/>
    <n v="46973.04"/>
    <s v="Vivek Mehta"/>
    <n v="40"/>
    <x v="5"/>
    <s v="Cash"/>
    <n v="3"/>
    <s v="iPhone 12"/>
  </r>
  <r>
    <n v="2294"/>
    <n v="22"/>
    <n v="7"/>
    <n v="2023"/>
    <s v="Saturday"/>
    <x v="3"/>
    <n v="4"/>
    <n v="39932.370000000003"/>
    <s v="Kiran Alva"/>
    <n v="23"/>
    <x v="18"/>
    <s v="UPI"/>
    <n v="2"/>
    <s v="Galaxy S21"/>
  </r>
  <r>
    <n v="2295"/>
    <n v="22"/>
    <n v="7"/>
    <n v="2023"/>
    <s v="Saturday"/>
    <x v="3"/>
    <n v="9"/>
    <n v="69351.13"/>
    <s v="Anita Pillai"/>
    <n v="41"/>
    <x v="14"/>
    <s v="UPI"/>
    <n v="3"/>
    <s v="Galaxy Note 20"/>
  </r>
  <r>
    <n v="2296"/>
    <n v="23"/>
    <n v="7"/>
    <n v="2023"/>
    <s v="Sunday"/>
    <x v="3"/>
    <n v="6"/>
    <n v="37741.71"/>
    <s v="Krishna Menon"/>
    <n v="41"/>
    <x v="1"/>
    <s v="Cash"/>
    <n v="5"/>
    <s v="Galaxy Note 20"/>
  </r>
  <r>
    <n v="2297"/>
    <n v="23"/>
    <n v="7"/>
    <n v="2023"/>
    <s v="Sunday"/>
    <x v="2"/>
    <n v="3"/>
    <n v="14459.89"/>
    <s v="Manoj Nambiar"/>
    <n v="38"/>
    <x v="2"/>
    <s v="UPI"/>
    <n v="5"/>
    <s v="OnePlus Nord"/>
  </r>
  <r>
    <n v="2298"/>
    <n v="23"/>
    <n v="7"/>
    <n v="2023"/>
    <s v="Sunday"/>
    <x v="4"/>
    <n v="6"/>
    <n v="68642.14"/>
    <s v="Shruti Sharma"/>
    <n v="59"/>
    <x v="1"/>
    <s v="UPI"/>
    <n v="5"/>
    <s v="iPhone 12"/>
  </r>
  <r>
    <n v="2299"/>
    <n v="24"/>
    <n v="7"/>
    <n v="2023"/>
    <s v="Monday"/>
    <x v="1"/>
    <n v="6"/>
    <n v="60615.22"/>
    <s v="Krishna Rao"/>
    <n v="48"/>
    <x v="1"/>
    <s v="Credit Card"/>
    <n v="2"/>
    <s v="Vivo Y51"/>
  </r>
  <r>
    <n v="2300"/>
    <n v="24"/>
    <n v="7"/>
    <n v="2023"/>
    <s v="Monday"/>
    <x v="0"/>
    <n v="5"/>
    <n v="20695.009999999998"/>
    <s v="Anjali Jain"/>
    <n v="58"/>
    <x v="1"/>
    <s v="Credit Card"/>
    <n v="5"/>
    <s v="Redmi 9"/>
  </r>
  <r>
    <n v="2301"/>
    <n v="24"/>
    <n v="7"/>
    <n v="2023"/>
    <s v="Monday"/>
    <x v="2"/>
    <n v="2"/>
    <n v="64276.32"/>
    <s v="Lata Kumar"/>
    <n v="47"/>
    <x v="2"/>
    <s v="UPI"/>
    <n v="2"/>
    <s v="OnePlus 8T"/>
  </r>
  <r>
    <n v="2302"/>
    <n v="25"/>
    <n v="7"/>
    <n v="2023"/>
    <s v="Tuesday"/>
    <x v="1"/>
    <n v="2"/>
    <n v="30440.01"/>
    <s v="Kavita Teja"/>
    <n v="51"/>
    <x v="12"/>
    <s v="Cash"/>
    <n v="2"/>
    <s v="Vivo S1"/>
  </r>
  <r>
    <n v="2303"/>
    <n v="25"/>
    <n v="7"/>
    <n v="2023"/>
    <s v="Tuesday"/>
    <x v="4"/>
    <n v="7"/>
    <n v="32626.720000000001"/>
    <s v="Kiran Solanki"/>
    <n v="35"/>
    <x v="18"/>
    <s v="UPI"/>
    <n v="5"/>
    <s v="iPhone 11"/>
  </r>
  <r>
    <n v="2304"/>
    <n v="25"/>
    <n v="7"/>
    <n v="2023"/>
    <s v="Tuesday"/>
    <x v="3"/>
    <n v="2"/>
    <n v="64383.49"/>
    <s v="Isha Ghosh"/>
    <n v="29"/>
    <x v="17"/>
    <s v="Debit Card"/>
    <n v="3"/>
    <s v="Galaxy S21"/>
  </r>
  <r>
    <n v="2305"/>
    <n v="25"/>
    <n v="7"/>
    <n v="2023"/>
    <s v="Tuesday"/>
    <x v="4"/>
    <n v="6"/>
    <n v="41806.93"/>
    <s v="Nikhil Luthra"/>
    <n v="52"/>
    <x v="1"/>
    <s v="Debit Card"/>
    <n v="3"/>
    <s v="iPhone SE"/>
  </r>
  <r>
    <n v="2306"/>
    <n v="26"/>
    <n v="7"/>
    <n v="2023"/>
    <s v="Wednesday"/>
    <x v="0"/>
    <n v="5"/>
    <n v="18265.78"/>
    <s v="Lata Verma"/>
    <n v="24"/>
    <x v="1"/>
    <s v="Debit Card"/>
    <n v="2"/>
    <s v="Redmi 9"/>
  </r>
  <r>
    <n v="2307"/>
    <n v="26"/>
    <n v="7"/>
    <n v="2023"/>
    <s v="Wednesday"/>
    <x v="2"/>
    <n v="4"/>
    <n v="32143.37"/>
    <s v="Kiran Ghosh"/>
    <n v="58"/>
    <x v="1"/>
    <s v="Credit Card"/>
    <n v="3"/>
    <s v="OnePlus 8T"/>
  </r>
  <r>
    <n v="2308"/>
    <n v="26"/>
    <n v="7"/>
    <n v="2023"/>
    <s v="Wednesday"/>
    <x v="2"/>
    <n v="7"/>
    <n v="53325.85"/>
    <s v="Umesh Patel"/>
    <n v="57"/>
    <x v="1"/>
    <s v="Cash"/>
    <n v="4"/>
    <s v="OnePlus 8T"/>
  </r>
  <r>
    <n v="2309"/>
    <n v="27"/>
    <n v="7"/>
    <n v="2023"/>
    <s v="Thursday"/>
    <x v="0"/>
    <n v="8"/>
    <n v="20451.05"/>
    <s v="Arun Deshmukh"/>
    <n v="42"/>
    <x v="13"/>
    <s v="UPI"/>
    <n v="3"/>
    <s v="Mi 11"/>
  </r>
  <r>
    <n v="2310"/>
    <n v="27"/>
    <n v="7"/>
    <n v="2023"/>
    <s v="Thursday"/>
    <x v="1"/>
    <n v="4"/>
    <n v="45413.87"/>
    <s v="Lalita Rao"/>
    <n v="23"/>
    <x v="2"/>
    <s v="Cash"/>
    <n v="2"/>
    <s v="Vivo V20"/>
  </r>
  <r>
    <n v="2311"/>
    <n v="27"/>
    <n v="7"/>
    <n v="2023"/>
    <s v="Thursday"/>
    <x v="1"/>
    <n v="1"/>
    <n v="51716.45"/>
    <s v="Shruti Roy"/>
    <n v="18"/>
    <x v="8"/>
    <s v="Cash"/>
    <n v="3"/>
    <s v="Vivo Y51"/>
  </r>
  <r>
    <n v="2312"/>
    <n v="28"/>
    <n v="7"/>
    <n v="2023"/>
    <s v="Friday"/>
    <x v="2"/>
    <n v="1"/>
    <n v="30631.21"/>
    <s v="Bhavana Reddy"/>
    <n v="33"/>
    <x v="2"/>
    <s v="Cash"/>
    <n v="2"/>
    <s v="OnePlus 8T"/>
  </r>
  <r>
    <n v="2313"/>
    <n v="28"/>
    <n v="7"/>
    <n v="2023"/>
    <s v="Friday"/>
    <x v="2"/>
    <n v="1"/>
    <n v="51632.84"/>
    <s v="Deepika Dutta"/>
    <n v="21"/>
    <x v="8"/>
    <s v="Debit Card"/>
    <n v="3"/>
    <s v="OnePlus 9"/>
  </r>
  <r>
    <n v="2314"/>
    <n v="28"/>
    <n v="7"/>
    <n v="2023"/>
    <s v="Friday"/>
    <x v="3"/>
    <n v="1"/>
    <n v="63052.44"/>
    <s v="Vijay Das"/>
    <n v="46"/>
    <x v="15"/>
    <s v="UPI"/>
    <n v="2"/>
    <s v="Galaxy Note 20"/>
  </r>
  <r>
    <n v="2315"/>
    <n v="29"/>
    <n v="7"/>
    <n v="2023"/>
    <s v="Saturday"/>
    <x v="1"/>
    <n v="5"/>
    <n v="38327"/>
    <s v="Ravi Prasad"/>
    <n v="55"/>
    <x v="12"/>
    <s v="Credit Card"/>
    <n v="4"/>
    <s v="Vivo V20"/>
  </r>
  <r>
    <n v="2316"/>
    <n v="29"/>
    <n v="7"/>
    <n v="2023"/>
    <s v="Saturday"/>
    <x v="0"/>
    <n v="4"/>
    <n v="32974.559999999998"/>
    <s v="Namita Rao"/>
    <n v="45"/>
    <x v="10"/>
    <s v="Cash"/>
    <n v="5"/>
    <s v="Redmi Note 10"/>
  </r>
  <r>
    <n v="2317"/>
    <n v="29"/>
    <n v="7"/>
    <n v="2023"/>
    <s v="Saturday"/>
    <x v="1"/>
    <n v="9"/>
    <n v="25069.5"/>
    <s v="Ayesha Menon"/>
    <n v="39"/>
    <x v="6"/>
    <s v="Cash"/>
    <n v="4"/>
    <s v="Vivo Y51"/>
  </r>
  <r>
    <n v="2318"/>
    <n v="29"/>
    <n v="7"/>
    <n v="2023"/>
    <s v="Saturday"/>
    <x v="3"/>
    <n v="3"/>
    <n v="46252.33"/>
    <s v="Umesh Srivastava"/>
    <n v="25"/>
    <x v="1"/>
    <s v="Debit Card"/>
    <n v="2"/>
    <s v="Galaxy S21"/>
  </r>
  <r>
    <n v="2319"/>
    <n v="30"/>
    <n v="7"/>
    <n v="2023"/>
    <s v="Sunday"/>
    <x v="2"/>
    <n v="7"/>
    <n v="62791.12"/>
    <s v="Ravi Kumar"/>
    <n v="49"/>
    <x v="1"/>
    <s v="Debit Card"/>
    <n v="4"/>
    <s v="OnePlus 8T"/>
  </r>
  <r>
    <n v="2320"/>
    <n v="30"/>
    <n v="7"/>
    <n v="2023"/>
    <s v="Sunday"/>
    <x v="2"/>
    <n v="8"/>
    <n v="29479.68"/>
    <s v="Krishna Nambiar"/>
    <n v="50"/>
    <x v="16"/>
    <s v="UPI"/>
    <n v="4"/>
    <s v="OnePlus 9"/>
  </r>
  <r>
    <n v="2321"/>
    <n v="30"/>
    <n v="7"/>
    <n v="2023"/>
    <s v="Sunday"/>
    <x v="3"/>
    <n v="6"/>
    <n v="33774.129999999997"/>
    <s v="Monika Rawat"/>
    <n v="30"/>
    <x v="1"/>
    <s v="Credit Card"/>
    <n v="2"/>
    <s v="Galaxy A51"/>
  </r>
  <r>
    <n v="2322"/>
    <n v="30"/>
    <n v="7"/>
    <n v="2023"/>
    <s v="Sunday"/>
    <x v="0"/>
    <n v="1"/>
    <n v="34397.53"/>
    <s v="Anand Kapoor"/>
    <n v="44"/>
    <x v="2"/>
    <s v="Credit Card"/>
    <n v="2"/>
    <s v="Mi 11"/>
  </r>
  <r>
    <n v="2323"/>
    <n v="31"/>
    <n v="7"/>
    <n v="2023"/>
    <s v="Monday"/>
    <x v="2"/>
    <n v="8"/>
    <n v="43648.74"/>
    <s v="Anita Dutta"/>
    <n v="35"/>
    <x v="1"/>
    <s v="Debit Card"/>
    <n v="5"/>
    <s v="OnePlus Nord"/>
  </r>
  <r>
    <n v="2324"/>
    <n v="31"/>
    <n v="7"/>
    <n v="2023"/>
    <s v="Monday"/>
    <x v="4"/>
    <n v="3"/>
    <n v="23704.54"/>
    <s v="Mala Mathur"/>
    <n v="35"/>
    <x v="6"/>
    <s v="UPI"/>
    <n v="5"/>
    <s v="iPhone SE"/>
  </r>
  <r>
    <n v="2325"/>
    <n v="31"/>
    <n v="7"/>
    <n v="2023"/>
    <s v="Monday"/>
    <x v="2"/>
    <n v="8"/>
    <n v="59332.67"/>
    <s v="Rajesh Shah"/>
    <n v="30"/>
    <x v="15"/>
    <s v="Cash"/>
    <n v="3"/>
    <s v="OnePlus Nord"/>
  </r>
  <r>
    <n v="2326"/>
    <n v="31"/>
    <n v="7"/>
    <n v="2023"/>
    <s v="Monday"/>
    <x v="4"/>
    <n v="4"/>
    <n v="27736.14"/>
    <s v="Rajesh Yadav"/>
    <n v="39"/>
    <x v="4"/>
    <s v="UPI"/>
    <n v="2"/>
    <s v="iPhone SE"/>
  </r>
  <r>
    <n v="2327"/>
    <n v="1"/>
    <n v="8"/>
    <n v="2023"/>
    <s v="Tuesday"/>
    <x v="3"/>
    <n v="8"/>
    <n v="52321.760000000002"/>
    <s v="Kavita Goyal"/>
    <n v="31"/>
    <x v="14"/>
    <s v="Credit Card"/>
    <n v="2"/>
    <s v="Galaxy Note 20"/>
  </r>
  <r>
    <n v="2328"/>
    <n v="1"/>
    <n v="8"/>
    <n v="2023"/>
    <s v="Tuesday"/>
    <x v="3"/>
    <n v="1"/>
    <n v="40792.94"/>
    <s v="Priya Reddy"/>
    <n v="28"/>
    <x v="2"/>
    <s v="Debit Card"/>
    <n v="4"/>
    <s v="Galaxy S21"/>
  </r>
  <r>
    <n v="2329"/>
    <n v="1"/>
    <n v="8"/>
    <n v="2023"/>
    <s v="Tuesday"/>
    <x v="2"/>
    <n v="3"/>
    <n v="45153.86"/>
    <s v="Ravi Gupta"/>
    <n v="56"/>
    <x v="2"/>
    <s v="Cash"/>
    <n v="4"/>
    <s v="OnePlus 8T"/>
  </r>
  <r>
    <n v="2330"/>
    <n v="2"/>
    <n v="8"/>
    <n v="2023"/>
    <s v="Wednesday"/>
    <x v="1"/>
    <n v="6"/>
    <n v="20776.52"/>
    <s v="Sunil Gupta"/>
    <n v="39"/>
    <x v="1"/>
    <s v="Cash"/>
    <n v="5"/>
    <s v="Vivo Y51"/>
  </r>
  <r>
    <n v="2331"/>
    <n v="2"/>
    <n v="8"/>
    <n v="2023"/>
    <s v="Wednesday"/>
    <x v="4"/>
    <n v="9"/>
    <n v="54101.39"/>
    <s v="Prashant Das"/>
    <n v="53"/>
    <x v="14"/>
    <s v="Credit Card"/>
    <n v="2"/>
    <s v="iPhone 12"/>
  </r>
  <r>
    <n v="2332"/>
    <n v="2"/>
    <n v="8"/>
    <n v="2023"/>
    <s v="Wednesday"/>
    <x v="0"/>
    <n v="2"/>
    <n v="21317.23"/>
    <s v="Nikhil Patel"/>
    <n v="34"/>
    <x v="14"/>
    <s v="Cash"/>
    <n v="2"/>
    <s v="Redmi 9"/>
  </r>
  <r>
    <n v="2333"/>
    <n v="3"/>
    <n v="8"/>
    <n v="2023"/>
    <s v="Thursday"/>
    <x v="2"/>
    <n v="1"/>
    <n v="16808.419999999998"/>
    <s v="Priya Prasad"/>
    <n v="49"/>
    <x v="16"/>
    <s v="UPI"/>
    <n v="5"/>
    <s v="OnePlus 9"/>
  </r>
  <r>
    <n v="2334"/>
    <n v="3"/>
    <n v="8"/>
    <n v="2023"/>
    <s v="Thursday"/>
    <x v="0"/>
    <n v="3"/>
    <n v="42800.77"/>
    <s v="Sachin Joshi"/>
    <n v="31"/>
    <x v="1"/>
    <s v="Credit Card"/>
    <n v="2"/>
    <s v="Redmi 9"/>
  </r>
  <r>
    <n v="2335"/>
    <n v="3"/>
    <n v="8"/>
    <n v="2023"/>
    <s v="Thursday"/>
    <x v="2"/>
    <n v="4"/>
    <n v="52557.83"/>
    <s v="Priya Dutta"/>
    <n v="59"/>
    <x v="3"/>
    <s v="Credit Card"/>
    <n v="2"/>
    <s v="OnePlus 8T"/>
  </r>
  <r>
    <n v="2336"/>
    <n v="3"/>
    <n v="8"/>
    <n v="2023"/>
    <s v="Thursday"/>
    <x v="1"/>
    <n v="5"/>
    <n v="13002.15"/>
    <s v="Monika Bhatnagar"/>
    <n v="46"/>
    <x v="14"/>
    <s v="Cash"/>
    <n v="4"/>
    <s v="Vivo V20"/>
  </r>
  <r>
    <n v="2337"/>
    <n v="4"/>
    <n v="8"/>
    <n v="2023"/>
    <s v="Friday"/>
    <x v="1"/>
    <n v="3"/>
    <n v="14163.72"/>
    <s v="Ravi Thakur"/>
    <n v="23"/>
    <x v="15"/>
    <s v="Credit Card"/>
    <n v="4"/>
    <s v="Vivo V20"/>
  </r>
  <r>
    <n v="2338"/>
    <n v="4"/>
    <n v="8"/>
    <n v="2023"/>
    <s v="Friday"/>
    <x v="1"/>
    <n v="2"/>
    <n v="58160.75"/>
    <s v="Krishna Rao"/>
    <n v="21"/>
    <x v="1"/>
    <s v="Debit Card"/>
    <n v="5"/>
    <s v="Vivo S1"/>
  </r>
  <r>
    <n v="2339"/>
    <n v="4"/>
    <n v="8"/>
    <n v="2023"/>
    <s v="Friday"/>
    <x v="1"/>
    <n v="2"/>
    <n v="58541.96"/>
    <s v="Ramesh Jain"/>
    <n v="28"/>
    <x v="1"/>
    <s v="UPI"/>
    <n v="2"/>
    <s v="Vivo V20"/>
  </r>
  <r>
    <n v="2340"/>
    <n v="5"/>
    <n v="8"/>
    <n v="2023"/>
    <s v="Saturday"/>
    <x v="3"/>
    <n v="7"/>
    <n v="24718.28"/>
    <s v="Kiran Siddiqui"/>
    <n v="57"/>
    <x v="1"/>
    <s v="Credit Card"/>
    <n v="4"/>
    <s v="Galaxy Note 20"/>
  </r>
  <r>
    <n v="2341"/>
    <n v="5"/>
    <n v="8"/>
    <n v="2023"/>
    <s v="Saturday"/>
    <x v="3"/>
    <n v="9"/>
    <n v="46913.69"/>
    <s v="Tapan Chatterjee"/>
    <n v="27"/>
    <x v="7"/>
    <s v="Debit Card"/>
    <n v="2"/>
    <s v="Galaxy S21"/>
  </r>
  <r>
    <n v="2342"/>
    <n v="5"/>
    <n v="8"/>
    <n v="2023"/>
    <s v="Saturday"/>
    <x v="4"/>
    <n v="2"/>
    <n v="36590.800000000003"/>
    <s v="Amit Joshi"/>
    <n v="45"/>
    <x v="18"/>
    <s v="Cash"/>
    <n v="5"/>
    <s v="iPhone 12"/>
  </r>
  <r>
    <n v="2343"/>
    <n v="6"/>
    <n v="8"/>
    <n v="2023"/>
    <s v="Sunday"/>
    <x v="0"/>
    <n v="7"/>
    <n v="47961.760000000002"/>
    <s v="Tapan Mishra"/>
    <n v="28"/>
    <x v="16"/>
    <s v="Credit Card"/>
    <n v="3"/>
    <s v="Mi 11"/>
  </r>
  <r>
    <n v="2344"/>
    <n v="6"/>
    <n v="8"/>
    <n v="2023"/>
    <s v="Sunday"/>
    <x v="2"/>
    <n v="7"/>
    <n v="61772.76"/>
    <s v="Reena Goyal"/>
    <n v="52"/>
    <x v="1"/>
    <s v="Debit Card"/>
    <n v="2"/>
    <s v="OnePlus Nord"/>
  </r>
  <r>
    <n v="2345"/>
    <n v="6"/>
    <n v="8"/>
    <n v="2023"/>
    <s v="Sunday"/>
    <x v="2"/>
    <n v="7"/>
    <n v="14791.39"/>
    <s v="Kunal Shah"/>
    <n v="32"/>
    <x v="3"/>
    <s v="Cash"/>
    <n v="2"/>
    <s v="OnePlus 9"/>
  </r>
  <r>
    <n v="2346"/>
    <n v="6"/>
    <n v="8"/>
    <n v="2023"/>
    <s v="Sunday"/>
    <x v="3"/>
    <n v="3"/>
    <n v="56679.07"/>
    <s v="Krishna Goyal"/>
    <n v="25"/>
    <x v="4"/>
    <s v="Debit Card"/>
    <n v="5"/>
    <s v="Galaxy A51"/>
  </r>
  <r>
    <n v="2347"/>
    <n v="7"/>
    <n v="8"/>
    <n v="2023"/>
    <s v="Monday"/>
    <x v="2"/>
    <n v="7"/>
    <n v="39581.75"/>
    <s v="Anand Joshi"/>
    <n v="37"/>
    <x v="0"/>
    <s v="Cash"/>
    <n v="3"/>
    <s v="OnePlus 9"/>
  </r>
  <r>
    <n v="2348"/>
    <n v="7"/>
    <n v="8"/>
    <n v="2023"/>
    <s v="Monday"/>
    <x v="3"/>
    <n v="1"/>
    <n v="43847.62"/>
    <s v="Amit Ghosh"/>
    <n v="38"/>
    <x v="14"/>
    <s v="UPI"/>
    <n v="4"/>
    <s v="Galaxy Note 20"/>
  </r>
  <r>
    <n v="2349"/>
    <n v="7"/>
    <n v="8"/>
    <n v="2023"/>
    <s v="Monday"/>
    <x v="4"/>
    <n v="1"/>
    <n v="49235.88"/>
    <s v="Bhavana Bhatnagar"/>
    <n v="18"/>
    <x v="1"/>
    <s v="Credit Card"/>
    <n v="2"/>
    <s v="iPhone SE"/>
  </r>
  <r>
    <n v="2350"/>
    <n v="7"/>
    <n v="8"/>
    <n v="2023"/>
    <s v="Monday"/>
    <x v="0"/>
    <n v="5"/>
    <n v="65357.39"/>
    <s v="Krishna Rawat"/>
    <n v="46"/>
    <x v="1"/>
    <s v="UPI"/>
    <n v="5"/>
    <s v="Redmi Note 10"/>
  </r>
  <r>
    <n v="2351"/>
    <n v="8"/>
    <n v="8"/>
    <n v="2023"/>
    <s v="Tuesday"/>
    <x v="4"/>
    <n v="2"/>
    <n v="13403.2"/>
    <s v="Nikhil Yadav"/>
    <n v="41"/>
    <x v="1"/>
    <s v="UPI"/>
    <n v="2"/>
    <s v="iPhone SE"/>
  </r>
  <r>
    <n v="2352"/>
    <n v="8"/>
    <n v="8"/>
    <n v="2023"/>
    <s v="Tuesday"/>
    <x v="1"/>
    <n v="9"/>
    <n v="11768.58"/>
    <s v="Ravi Prasad"/>
    <n v="47"/>
    <x v="9"/>
    <s v="Credit Card"/>
    <n v="3"/>
    <s v="Vivo V20"/>
  </r>
  <r>
    <n v="2353"/>
    <n v="8"/>
    <n v="8"/>
    <n v="2023"/>
    <s v="Tuesday"/>
    <x v="1"/>
    <n v="7"/>
    <n v="20695.71"/>
    <s v="Anita Srivastava"/>
    <n v="57"/>
    <x v="1"/>
    <s v="UPI"/>
    <n v="3"/>
    <s v="Vivo Y51"/>
  </r>
  <r>
    <n v="2354"/>
    <n v="9"/>
    <n v="8"/>
    <n v="2023"/>
    <s v="Wednesday"/>
    <x v="1"/>
    <n v="4"/>
    <n v="69186.86"/>
    <s v="Monika Nambiar"/>
    <n v="52"/>
    <x v="11"/>
    <s v="UPI"/>
    <n v="2"/>
    <s v="Vivo Y51"/>
  </r>
  <r>
    <n v="2355"/>
    <n v="9"/>
    <n v="8"/>
    <n v="2023"/>
    <s v="Wednesday"/>
    <x v="4"/>
    <n v="4"/>
    <n v="52904.58"/>
    <s v="Monika Solanki"/>
    <n v="50"/>
    <x v="2"/>
    <s v="Debit Card"/>
    <n v="2"/>
    <s v="iPhone 12"/>
  </r>
  <r>
    <n v="2356"/>
    <n v="9"/>
    <n v="8"/>
    <n v="2023"/>
    <s v="Wednesday"/>
    <x v="2"/>
    <n v="2"/>
    <n v="46878.47"/>
    <s v="Sunita Sharma"/>
    <n v="37"/>
    <x v="17"/>
    <s v="Cash"/>
    <n v="2"/>
    <s v="OnePlus 9"/>
  </r>
  <r>
    <n v="2357"/>
    <n v="10"/>
    <n v="8"/>
    <n v="2023"/>
    <s v="Thursday"/>
    <x v="0"/>
    <n v="5"/>
    <n v="12822.34"/>
    <s v="Anjali Desai"/>
    <n v="33"/>
    <x v="4"/>
    <s v="UPI"/>
    <n v="3"/>
    <s v="Redmi 9"/>
  </r>
  <r>
    <n v="2358"/>
    <n v="10"/>
    <n v="8"/>
    <n v="2023"/>
    <s v="Thursday"/>
    <x v="1"/>
    <n v="4"/>
    <n v="62746.61"/>
    <s v="Ayesha Dutta"/>
    <n v="26"/>
    <x v="12"/>
    <s v="Credit Card"/>
    <n v="2"/>
    <s v="Vivo V20"/>
  </r>
  <r>
    <n v="2359"/>
    <n v="10"/>
    <n v="8"/>
    <n v="2023"/>
    <s v="Thursday"/>
    <x v="1"/>
    <n v="1"/>
    <n v="58765.41"/>
    <s v="Manoj Thakur"/>
    <n v="48"/>
    <x v="18"/>
    <s v="Debit Card"/>
    <n v="4"/>
    <s v="Vivo S1"/>
  </r>
  <r>
    <n v="2360"/>
    <n v="11"/>
    <n v="8"/>
    <n v="2023"/>
    <s v="Friday"/>
    <x v="1"/>
    <n v="8"/>
    <n v="49888"/>
    <s v="Monika Goyal"/>
    <n v="34"/>
    <x v="1"/>
    <s v="Cash"/>
    <n v="3"/>
    <s v="Vivo V20"/>
  </r>
  <r>
    <n v="2361"/>
    <n v="11"/>
    <n v="8"/>
    <n v="2023"/>
    <s v="Friday"/>
    <x v="0"/>
    <n v="3"/>
    <n v="30347.85"/>
    <s v="Priyanka Ghosh"/>
    <n v="48"/>
    <x v="2"/>
    <s v="UPI"/>
    <n v="2"/>
    <s v="Mi 11"/>
  </r>
  <r>
    <n v="2362"/>
    <n v="11"/>
    <n v="8"/>
    <n v="2023"/>
    <s v="Friday"/>
    <x v="1"/>
    <n v="6"/>
    <n v="14230.3"/>
    <s v="Pankaj Mehta"/>
    <n v="40"/>
    <x v="5"/>
    <s v="UPI"/>
    <n v="2"/>
    <s v="Vivo S1"/>
  </r>
  <r>
    <n v="2363"/>
    <n v="11"/>
    <n v="8"/>
    <n v="2023"/>
    <s v="Friday"/>
    <x v="0"/>
    <n v="4"/>
    <n v="44802.31"/>
    <s v="Tanuja Dutta"/>
    <n v="23"/>
    <x v="12"/>
    <s v="Credit Card"/>
    <n v="2"/>
    <s v="Redmi 9"/>
  </r>
  <r>
    <n v="2364"/>
    <n v="12"/>
    <n v="8"/>
    <n v="2023"/>
    <s v="Saturday"/>
    <x v="1"/>
    <n v="9"/>
    <n v="53181.67"/>
    <s v="Kiran Pathak"/>
    <n v="47"/>
    <x v="4"/>
    <s v="UPI"/>
    <n v="2"/>
    <s v="Vivo Y51"/>
  </r>
  <r>
    <n v="2365"/>
    <n v="12"/>
    <n v="8"/>
    <n v="2023"/>
    <s v="Saturday"/>
    <x v="4"/>
    <n v="7"/>
    <n v="15654.42"/>
    <s v="Priya Varma"/>
    <n v="24"/>
    <x v="10"/>
    <s v="Credit Card"/>
    <n v="3"/>
    <s v="iPhone SE"/>
  </r>
  <r>
    <n v="2366"/>
    <n v="12"/>
    <n v="8"/>
    <n v="2023"/>
    <s v="Saturday"/>
    <x v="4"/>
    <n v="9"/>
    <n v="48026.06"/>
    <s v="Arun Sheth"/>
    <n v="57"/>
    <x v="6"/>
    <s v="UPI"/>
    <n v="2"/>
    <s v="iPhone 11"/>
  </r>
  <r>
    <n v="2367"/>
    <n v="12"/>
    <n v="8"/>
    <n v="2023"/>
    <s v="Saturday"/>
    <x v="0"/>
    <n v="3"/>
    <n v="27181.96"/>
    <s v="Vinod Joshi"/>
    <n v="59"/>
    <x v="2"/>
    <s v="UPI"/>
    <n v="3"/>
    <s v="Mi 11"/>
  </r>
  <r>
    <n v="2368"/>
    <n v="13"/>
    <n v="8"/>
    <n v="2023"/>
    <s v="Sunday"/>
    <x v="4"/>
    <n v="1"/>
    <n v="55854.65"/>
    <s v="Vivek Mehta"/>
    <n v="28"/>
    <x v="7"/>
    <s v="Credit Card"/>
    <n v="2"/>
    <s v="iPhone 11"/>
  </r>
  <r>
    <n v="2369"/>
    <n v="13"/>
    <n v="8"/>
    <n v="2023"/>
    <s v="Sunday"/>
    <x v="0"/>
    <n v="5"/>
    <n v="42376.95"/>
    <s v="Sanjay Jain"/>
    <n v="51"/>
    <x v="2"/>
    <s v="Cash"/>
    <n v="4"/>
    <s v="Redmi Note 10"/>
  </r>
  <r>
    <n v="2370"/>
    <n v="13"/>
    <n v="8"/>
    <n v="2023"/>
    <s v="Sunday"/>
    <x v="4"/>
    <n v="3"/>
    <n v="17742.21"/>
    <s v="Kiran Chaudhary"/>
    <n v="29"/>
    <x v="4"/>
    <s v="Debit Card"/>
    <n v="4"/>
    <s v="iPhone 11"/>
  </r>
  <r>
    <n v="2371"/>
    <n v="13"/>
    <n v="8"/>
    <n v="2023"/>
    <s v="Sunday"/>
    <x v="4"/>
    <n v="6"/>
    <n v="41591.17"/>
    <s v="Jyoti Rawat"/>
    <n v="44"/>
    <x v="15"/>
    <s v="Credit Card"/>
    <n v="4"/>
    <s v="iPhone SE"/>
  </r>
  <r>
    <n v="2372"/>
    <n v="14"/>
    <n v="8"/>
    <n v="2023"/>
    <s v="Monday"/>
    <x v="0"/>
    <n v="8"/>
    <n v="33744.21"/>
    <s v="Monika Rawat"/>
    <n v="29"/>
    <x v="14"/>
    <s v="Cash"/>
    <n v="2"/>
    <s v="Redmi Note 10"/>
  </r>
  <r>
    <n v="2373"/>
    <n v="14"/>
    <n v="8"/>
    <n v="2023"/>
    <s v="Monday"/>
    <x v="2"/>
    <n v="4"/>
    <n v="20821.36"/>
    <s v="Bina Solanki"/>
    <n v="30"/>
    <x v="1"/>
    <s v="Cash"/>
    <n v="2"/>
    <s v="OnePlus 8T"/>
  </r>
  <r>
    <n v="2374"/>
    <n v="14"/>
    <n v="8"/>
    <n v="2023"/>
    <s v="Monday"/>
    <x v="4"/>
    <n v="5"/>
    <n v="60490.94"/>
    <s v="Lalita Patel"/>
    <n v="25"/>
    <x v="2"/>
    <s v="Credit Card"/>
    <n v="2"/>
    <s v="iPhone 11"/>
  </r>
  <r>
    <n v="2375"/>
    <n v="14"/>
    <n v="8"/>
    <n v="2023"/>
    <s v="Monday"/>
    <x v="1"/>
    <n v="5"/>
    <n v="10661.71"/>
    <s v="Krishna Nambiar"/>
    <n v="33"/>
    <x v="4"/>
    <s v="Debit Card"/>
    <n v="3"/>
    <s v="Vivo Y51"/>
  </r>
  <r>
    <n v="2376"/>
    <n v="15"/>
    <n v="8"/>
    <n v="2023"/>
    <s v="Tuesday"/>
    <x v="2"/>
    <n v="4"/>
    <n v="28727.7"/>
    <s v="Nikhil Reddy"/>
    <n v="46"/>
    <x v="2"/>
    <s v="Credit Card"/>
    <n v="4"/>
    <s v="OnePlus Nord"/>
  </r>
  <r>
    <n v="2377"/>
    <n v="15"/>
    <n v="8"/>
    <n v="2023"/>
    <s v="Tuesday"/>
    <x v="0"/>
    <n v="4"/>
    <n v="10755.7"/>
    <s v="Harish Kaur"/>
    <n v="52"/>
    <x v="12"/>
    <s v="UPI"/>
    <n v="3"/>
    <s v="Redmi Note 10"/>
  </r>
  <r>
    <n v="2378"/>
    <n v="15"/>
    <n v="8"/>
    <n v="2023"/>
    <s v="Tuesday"/>
    <x v="2"/>
    <n v="4"/>
    <n v="15760.42"/>
    <s v="Meena Desai"/>
    <n v="46"/>
    <x v="2"/>
    <s v="UPI"/>
    <n v="2"/>
    <s v="OnePlus 9"/>
  </r>
  <r>
    <n v="2379"/>
    <n v="16"/>
    <n v="8"/>
    <n v="2023"/>
    <s v="Wednesday"/>
    <x v="3"/>
    <n v="4"/>
    <n v="27825.77"/>
    <s v="Aditya Prasad"/>
    <n v="48"/>
    <x v="2"/>
    <s v="Cash"/>
    <n v="5"/>
    <s v="Galaxy S21"/>
  </r>
  <r>
    <n v="2380"/>
    <n v="16"/>
    <n v="8"/>
    <n v="2023"/>
    <s v="Wednesday"/>
    <x v="3"/>
    <n v="4"/>
    <n v="13256.27"/>
    <s v="Pooja Srivastava"/>
    <n v="30"/>
    <x v="16"/>
    <s v="UPI"/>
    <n v="5"/>
    <s v="Galaxy A51"/>
  </r>
  <r>
    <n v="2381"/>
    <n v="16"/>
    <n v="8"/>
    <n v="2023"/>
    <s v="Wednesday"/>
    <x v="4"/>
    <n v="5"/>
    <n v="45797.83"/>
    <s v="Amit Srivastava"/>
    <n v="29"/>
    <x v="2"/>
    <s v="Debit Card"/>
    <n v="2"/>
    <s v="iPhone 11"/>
  </r>
  <r>
    <n v="2382"/>
    <n v="16"/>
    <n v="8"/>
    <n v="2023"/>
    <s v="Wednesday"/>
    <x v="4"/>
    <n v="2"/>
    <n v="15211.77"/>
    <s v="Meena Roy"/>
    <n v="19"/>
    <x v="6"/>
    <s v="Credit Card"/>
    <n v="2"/>
    <s v="iPhone 12"/>
  </r>
  <r>
    <n v="2383"/>
    <n v="17"/>
    <n v="8"/>
    <n v="2023"/>
    <s v="Thursday"/>
    <x v="1"/>
    <n v="2"/>
    <n v="52102.82"/>
    <s v="Amit Rathod"/>
    <n v="50"/>
    <x v="0"/>
    <s v="Debit Card"/>
    <n v="3"/>
    <s v="Vivo Y51"/>
  </r>
  <r>
    <n v="2384"/>
    <n v="17"/>
    <n v="8"/>
    <n v="2023"/>
    <s v="Thursday"/>
    <x v="2"/>
    <n v="9"/>
    <n v="13158.53"/>
    <s v="Devendra Menon"/>
    <n v="25"/>
    <x v="1"/>
    <s v="Cash"/>
    <n v="2"/>
    <s v="OnePlus Nord"/>
  </r>
  <r>
    <n v="2385"/>
    <n v="17"/>
    <n v="8"/>
    <n v="2023"/>
    <s v="Thursday"/>
    <x v="3"/>
    <n v="2"/>
    <n v="13558.53"/>
    <s v="Sunita Thakur"/>
    <n v="58"/>
    <x v="2"/>
    <s v="UPI"/>
    <n v="2"/>
    <s v="Galaxy S21"/>
  </r>
  <r>
    <n v="2386"/>
    <n v="17"/>
    <n v="8"/>
    <n v="2023"/>
    <s v="Thursday"/>
    <x v="4"/>
    <n v="6"/>
    <n v="28319.55"/>
    <s v="Sneha Prasad"/>
    <n v="57"/>
    <x v="2"/>
    <s v="UPI"/>
    <n v="5"/>
    <s v="iPhone SE"/>
  </r>
  <r>
    <n v="2387"/>
    <n v="18"/>
    <n v="8"/>
    <n v="2023"/>
    <s v="Friday"/>
    <x v="2"/>
    <n v="2"/>
    <n v="63794.29"/>
    <s v="Ramesh Solanki"/>
    <n v="58"/>
    <x v="14"/>
    <s v="Credit Card"/>
    <n v="4"/>
    <s v="OnePlus 9"/>
  </r>
  <r>
    <n v="2388"/>
    <n v="18"/>
    <n v="8"/>
    <n v="2023"/>
    <s v="Friday"/>
    <x v="4"/>
    <n v="5"/>
    <n v="48483.59"/>
    <s v="Anjali Desai"/>
    <n v="49"/>
    <x v="10"/>
    <s v="Debit Card"/>
    <n v="4"/>
    <s v="iPhone 12"/>
  </r>
  <r>
    <n v="2389"/>
    <n v="18"/>
    <n v="8"/>
    <n v="2023"/>
    <s v="Friday"/>
    <x v="4"/>
    <n v="4"/>
    <n v="56207.88"/>
    <s v="Namita Siddiqui"/>
    <n v="55"/>
    <x v="1"/>
    <s v="Debit Card"/>
    <n v="2"/>
    <s v="iPhone 11"/>
  </r>
  <r>
    <n v="2390"/>
    <n v="18"/>
    <n v="8"/>
    <n v="2023"/>
    <s v="Friday"/>
    <x v="3"/>
    <n v="7"/>
    <n v="18493.13"/>
    <s v="Ravi Kumar"/>
    <n v="45"/>
    <x v="13"/>
    <s v="Credit Card"/>
    <n v="2"/>
    <s v="Galaxy A51"/>
  </r>
  <r>
    <n v="2391"/>
    <n v="19"/>
    <n v="8"/>
    <n v="2023"/>
    <s v="Saturday"/>
    <x v="3"/>
    <n v="7"/>
    <n v="60047.53"/>
    <s v="Kavita Kumar"/>
    <n v="32"/>
    <x v="11"/>
    <s v="UPI"/>
    <n v="2"/>
    <s v="Galaxy S21"/>
  </r>
  <r>
    <n v="2392"/>
    <n v="19"/>
    <n v="8"/>
    <n v="2023"/>
    <s v="Saturday"/>
    <x v="4"/>
    <n v="6"/>
    <n v="10488.77"/>
    <s v="Vinod Dutta"/>
    <n v="40"/>
    <x v="1"/>
    <s v="Cash"/>
    <n v="5"/>
    <s v="iPhone 12"/>
  </r>
  <r>
    <n v="2393"/>
    <n v="19"/>
    <n v="8"/>
    <n v="2023"/>
    <s v="Saturday"/>
    <x v="0"/>
    <n v="5"/>
    <n v="22783.439999999999"/>
    <s v="Namita Goyal"/>
    <n v="41"/>
    <x v="1"/>
    <s v="Cash"/>
    <n v="2"/>
    <s v="Redmi 9"/>
  </r>
  <r>
    <n v="2394"/>
    <n v="19"/>
    <n v="8"/>
    <n v="2023"/>
    <s v="Saturday"/>
    <x v="4"/>
    <n v="1"/>
    <n v="46965.54"/>
    <s v="Kiran Rathod"/>
    <n v="30"/>
    <x v="11"/>
    <s v="Credit Card"/>
    <n v="2"/>
    <s v="iPhone 11"/>
  </r>
  <r>
    <n v="2395"/>
    <n v="20"/>
    <n v="8"/>
    <n v="2023"/>
    <s v="Sunday"/>
    <x v="4"/>
    <n v="3"/>
    <n v="32514.78"/>
    <s v="Priyanka Teja"/>
    <n v="38"/>
    <x v="9"/>
    <s v="Credit Card"/>
    <n v="5"/>
    <s v="iPhone SE"/>
  </r>
  <r>
    <n v="2396"/>
    <n v="20"/>
    <n v="8"/>
    <n v="2023"/>
    <s v="Sunday"/>
    <x v="1"/>
    <n v="9"/>
    <n v="69051.600000000006"/>
    <s v="Sunil Menon"/>
    <n v="29"/>
    <x v="14"/>
    <s v="Credit Card"/>
    <n v="3"/>
    <s v="Vivo V20"/>
  </r>
  <r>
    <n v="2397"/>
    <n v="20"/>
    <n v="8"/>
    <n v="2023"/>
    <s v="Sunday"/>
    <x v="1"/>
    <n v="1"/>
    <n v="11820.35"/>
    <s v="Neeta Deshmukh"/>
    <n v="30"/>
    <x v="1"/>
    <s v="Debit Card"/>
    <n v="2"/>
    <s v="Vivo S1"/>
  </r>
  <r>
    <n v="2398"/>
    <n v="20"/>
    <n v="8"/>
    <n v="2023"/>
    <s v="Sunday"/>
    <x v="1"/>
    <n v="5"/>
    <n v="69915.89"/>
    <s v="Krishna Goyal"/>
    <n v="56"/>
    <x v="1"/>
    <s v="UPI"/>
    <n v="3"/>
    <s v="Vivo Y51"/>
  </r>
  <r>
    <n v="2399"/>
    <n v="21"/>
    <n v="8"/>
    <n v="2023"/>
    <s v="Monday"/>
    <x v="0"/>
    <n v="2"/>
    <n v="47417.67"/>
    <s v="Anjali Roy"/>
    <n v="40"/>
    <x v="18"/>
    <s v="UPI"/>
    <n v="4"/>
    <s v="Mi 11"/>
  </r>
  <r>
    <n v="2400"/>
    <n v="21"/>
    <n v="8"/>
    <n v="2023"/>
    <s v="Monday"/>
    <x v="0"/>
    <n v="4"/>
    <n v="43522.42"/>
    <s v="Lata Reddy"/>
    <n v="45"/>
    <x v="1"/>
    <s v="Credit Card"/>
    <n v="4"/>
    <s v="Mi 11"/>
  </r>
  <r>
    <n v="2401"/>
    <n v="21"/>
    <n v="8"/>
    <n v="2023"/>
    <s v="Monday"/>
    <x v="4"/>
    <n v="1"/>
    <n v="13570.75"/>
    <s v="Lata Chatterjee"/>
    <n v="31"/>
    <x v="14"/>
    <s v="Cash"/>
    <n v="5"/>
    <s v="iPhone 11"/>
  </r>
  <r>
    <n v="2402"/>
    <n v="22"/>
    <n v="8"/>
    <n v="2023"/>
    <s v="Tuesday"/>
    <x v="1"/>
    <n v="3"/>
    <n v="26399.73"/>
    <s v="Shruti Shah"/>
    <n v="34"/>
    <x v="1"/>
    <s v="Debit Card"/>
    <n v="2"/>
    <s v="Vivo Y51"/>
  </r>
  <r>
    <n v="2403"/>
    <n v="22"/>
    <n v="8"/>
    <n v="2023"/>
    <s v="Tuesday"/>
    <x v="0"/>
    <n v="7"/>
    <n v="65479.76"/>
    <s v="Kiran Joshi"/>
    <n v="41"/>
    <x v="8"/>
    <s v="Credit Card"/>
    <n v="5"/>
    <s v="Mi 11"/>
  </r>
  <r>
    <n v="2404"/>
    <n v="22"/>
    <n v="8"/>
    <n v="2023"/>
    <s v="Tuesday"/>
    <x v="3"/>
    <n v="3"/>
    <n v="31254.76"/>
    <s v="Priya Prasad"/>
    <n v="51"/>
    <x v="3"/>
    <s v="Debit Card"/>
    <n v="2"/>
    <s v="Galaxy Note 20"/>
  </r>
  <r>
    <n v="2405"/>
    <n v="23"/>
    <n v="8"/>
    <n v="2023"/>
    <s v="Wednesday"/>
    <x v="4"/>
    <n v="4"/>
    <n v="49699.19"/>
    <s v="Bina Joshi"/>
    <n v="39"/>
    <x v="10"/>
    <s v="Credit Card"/>
    <n v="4"/>
    <s v="iPhone 12"/>
  </r>
  <r>
    <n v="2406"/>
    <n v="23"/>
    <n v="8"/>
    <n v="2023"/>
    <s v="Wednesday"/>
    <x v="2"/>
    <n v="2"/>
    <n v="69969.78"/>
    <s v="Rajesh Mishra"/>
    <n v="27"/>
    <x v="6"/>
    <s v="Debit Card"/>
    <n v="5"/>
    <s v="OnePlus Nord"/>
  </r>
  <r>
    <n v="2407"/>
    <n v="23"/>
    <n v="8"/>
    <n v="2023"/>
    <s v="Wednesday"/>
    <x v="4"/>
    <n v="3"/>
    <n v="25784.18"/>
    <s v="Namita Das"/>
    <n v="25"/>
    <x v="9"/>
    <s v="Cash"/>
    <n v="5"/>
    <s v="iPhone 11"/>
  </r>
  <r>
    <n v="2408"/>
    <n v="23"/>
    <n v="8"/>
    <n v="2023"/>
    <s v="Wednesday"/>
    <x v="2"/>
    <n v="9"/>
    <n v="44564.85"/>
    <s v="Sachin Kaur"/>
    <n v="38"/>
    <x v="7"/>
    <s v="Cash"/>
    <n v="2"/>
    <s v="OnePlus Nord"/>
  </r>
  <r>
    <n v="2409"/>
    <n v="24"/>
    <n v="8"/>
    <n v="2023"/>
    <s v="Thursday"/>
    <x v="1"/>
    <n v="3"/>
    <n v="51786.27"/>
    <s v="Devendra Singh"/>
    <n v="54"/>
    <x v="1"/>
    <s v="Cash"/>
    <n v="4"/>
    <s v="Vivo S1"/>
  </r>
  <r>
    <n v="2410"/>
    <n v="24"/>
    <n v="8"/>
    <n v="2023"/>
    <s v="Thursday"/>
    <x v="2"/>
    <n v="5"/>
    <n v="19877.63"/>
    <s v="Deepika Iyer"/>
    <n v="24"/>
    <x v="1"/>
    <s v="Cash"/>
    <n v="4"/>
    <s v="OnePlus 9"/>
  </r>
  <r>
    <n v="2411"/>
    <n v="24"/>
    <n v="8"/>
    <n v="2023"/>
    <s v="Thursday"/>
    <x v="1"/>
    <n v="2"/>
    <n v="18920.349999999999"/>
    <s v="Pankaj Pathak"/>
    <n v="43"/>
    <x v="2"/>
    <s v="UPI"/>
    <n v="2"/>
    <s v="Vivo S1"/>
  </r>
  <r>
    <n v="2412"/>
    <n v="25"/>
    <n v="8"/>
    <n v="2023"/>
    <s v="Friday"/>
    <x v="3"/>
    <n v="4"/>
    <n v="37378.47"/>
    <s v="Sunil Siddiqui"/>
    <n v="30"/>
    <x v="13"/>
    <s v="UPI"/>
    <n v="2"/>
    <s v="Galaxy A51"/>
  </r>
  <r>
    <n v="2413"/>
    <n v="25"/>
    <n v="8"/>
    <n v="2023"/>
    <s v="Friday"/>
    <x v="2"/>
    <n v="7"/>
    <n v="33148.75"/>
    <s v="Namita Roy"/>
    <n v="33"/>
    <x v="15"/>
    <s v="Debit Card"/>
    <n v="2"/>
    <s v="OnePlus 8T"/>
  </r>
  <r>
    <n v="2414"/>
    <n v="25"/>
    <n v="8"/>
    <n v="2023"/>
    <s v="Friday"/>
    <x v="4"/>
    <n v="7"/>
    <n v="52852.93"/>
    <s v="Navin Chaudhary"/>
    <n v="47"/>
    <x v="16"/>
    <s v="Credit Card"/>
    <n v="4"/>
    <s v="iPhone 11"/>
  </r>
  <r>
    <n v="2415"/>
    <n v="25"/>
    <n v="8"/>
    <n v="2023"/>
    <s v="Friday"/>
    <x v="1"/>
    <n v="3"/>
    <n v="14170.53"/>
    <s v="Sunita Iyer"/>
    <n v="48"/>
    <x v="1"/>
    <s v="UPI"/>
    <n v="4"/>
    <s v="Vivo S1"/>
  </r>
  <r>
    <n v="2416"/>
    <n v="26"/>
    <n v="8"/>
    <n v="2023"/>
    <s v="Saturday"/>
    <x v="4"/>
    <n v="5"/>
    <n v="68330"/>
    <s v="Kavita Mehta"/>
    <n v="22"/>
    <x v="2"/>
    <s v="Credit Card"/>
    <n v="5"/>
    <s v="iPhone 11"/>
  </r>
  <r>
    <n v="2417"/>
    <n v="26"/>
    <n v="8"/>
    <n v="2023"/>
    <s v="Saturday"/>
    <x v="0"/>
    <n v="1"/>
    <n v="10856.62"/>
    <s v="Harish Goyal"/>
    <n v="49"/>
    <x v="13"/>
    <s v="Debit Card"/>
    <n v="4"/>
    <s v="Redmi Note 10"/>
  </r>
  <r>
    <n v="2418"/>
    <n v="26"/>
    <n v="8"/>
    <n v="2023"/>
    <s v="Saturday"/>
    <x v="1"/>
    <n v="1"/>
    <n v="46079.01"/>
    <s v="Sachin Shah"/>
    <n v="33"/>
    <x v="7"/>
    <s v="Credit Card"/>
    <n v="3"/>
    <s v="Vivo S1"/>
  </r>
  <r>
    <n v="2419"/>
    <n v="26"/>
    <n v="8"/>
    <n v="2023"/>
    <s v="Saturday"/>
    <x v="2"/>
    <n v="5"/>
    <n v="43757.96"/>
    <s v="Sumit Nambiar"/>
    <n v="26"/>
    <x v="12"/>
    <s v="Cash"/>
    <n v="3"/>
    <s v="OnePlus Nord"/>
  </r>
  <r>
    <n v="2420"/>
    <n v="27"/>
    <n v="8"/>
    <n v="2023"/>
    <s v="Sunday"/>
    <x v="1"/>
    <n v="9"/>
    <n v="18082.939999999999"/>
    <s v="Amit Patel"/>
    <n v="39"/>
    <x v="7"/>
    <s v="Cash"/>
    <n v="2"/>
    <s v="Vivo V20"/>
  </r>
  <r>
    <n v="2421"/>
    <n v="27"/>
    <n v="8"/>
    <n v="2023"/>
    <s v="Sunday"/>
    <x v="4"/>
    <n v="1"/>
    <n v="19054.96"/>
    <s v="Vijay Bhattacharya"/>
    <n v="57"/>
    <x v="8"/>
    <s v="UPI"/>
    <n v="2"/>
    <s v="iPhone 12"/>
  </r>
  <r>
    <n v="2422"/>
    <n v="27"/>
    <n v="8"/>
    <n v="2023"/>
    <s v="Sunday"/>
    <x v="3"/>
    <n v="1"/>
    <n v="57560.65"/>
    <s v="Monika Deshmukh"/>
    <n v="54"/>
    <x v="16"/>
    <s v="Debit Card"/>
    <n v="2"/>
    <s v="Galaxy S21"/>
  </r>
  <r>
    <n v="2423"/>
    <n v="28"/>
    <n v="8"/>
    <n v="2023"/>
    <s v="Monday"/>
    <x v="1"/>
    <n v="4"/>
    <n v="63253.75"/>
    <s v="Vinod Kaur"/>
    <n v="31"/>
    <x v="17"/>
    <s v="UPI"/>
    <n v="5"/>
    <s v="Vivo V20"/>
  </r>
  <r>
    <n v="2424"/>
    <n v="28"/>
    <n v="8"/>
    <n v="2023"/>
    <s v="Monday"/>
    <x v="2"/>
    <n v="4"/>
    <n v="26981.02"/>
    <s v="Namita Varma"/>
    <n v="33"/>
    <x v="14"/>
    <s v="UPI"/>
    <n v="3"/>
    <s v="OnePlus Nord"/>
  </r>
  <r>
    <n v="2425"/>
    <n v="28"/>
    <n v="8"/>
    <n v="2023"/>
    <s v="Monday"/>
    <x v="0"/>
    <n v="2"/>
    <n v="36277.839999999997"/>
    <s v="Pankaj Shah"/>
    <n v="37"/>
    <x v="1"/>
    <s v="UPI"/>
    <n v="3"/>
    <s v="Mi 11"/>
  </r>
  <r>
    <n v="2426"/>
    <n v="29"/>
    <n v="8"/>
    <n v="2023"/>
    <s v="Tuesday"/>
    <x v="3"/>
    <n v="9"/>
    <n v="31299.7"/>
    <s v="Lalita Rao"/>
    <n v="32"/>
    <x v="1"/>
    <s v="Debit Card"/>
    <n v="4"/>
    <s v="Galaxy Note 20"/>
  </r>
  <r>
    <n v="2427"/>
    <n v="29"/>
    <n v="8"/>
    <n v="2023"/>
    <s v="Tuesday"/>
    <x v="0"/>
    <n v="9"/>
    <n v="14352.82"/>
    <s v="Jyoti Alva"/>
    <n v="43"/>
    <x v="2"/>
    <s v="Cash"/>
    <n v="3"/>
    <s v="Mi 11"/>
  </r>
  <r>
    <n v="2428"/>
    <n v="29"/>
    <n v="8"/>
    <n v="2023"/>
    <s v="Tuesday"/>
    <x v="1"/>
    <n v="2"/>
    <n v="50392.25"/>
    <s v="Jyoti Pillai"/>
    <n v="26"/>
    <x v="2"/>
    <s v="Cash"/>
    <n v="4"/>
    <s v="Vivo Y51"/>
  </r>
  <r>
    <n v="2429"/>
    <n v="29"/>
    <n v="8"/>
    <n v="2023"/>
    <s v="Tuesday"/>
    <x v="4"/>
    <n v="9"/>
    <n v="59511.58"/>
    <s v="Sneha Ghosh"/>
    <n v="18"/>
    <x v="14"/>
    <s v="UPI"/>
    <n v="5"/>
    <s v="iPhone 12"/>
  </r>
  <r>
    <n v="2430"/>
    <n v="30"/>
    <n v="8"/>
    <n v="2023"/>
    <s v="Wednesday"/>
    <x v="4"/>
    <n v="6"/>
    <n v="28292.76"/>
    <s v="Ayesha Bhattacharya"/>
    <n v="52"/>
    <x v="12"/>
    <s v="Credit Card"/>
    <n v="2"/>
    <s v="iPhone 11"/>
  </r>
  <r>
    <n v="2431"/>
    <n v="30"/>
    <n v="8"/>
    <n v="2023"/>
    <s v="Wednesday"/>
    <x v="2"/>
    <n v="8"/>
    <n v="69410.55"/>
    <s v="Pankaj Bhattacharya"/>
    <n v="37"/>
    <x v="2"/>
    <s v="Cash"/>
    <n v="2"/>
    <s v="OnePlus 8T"/>
  </r>
  <r>
    <n v="2432"/>
    <n v="30"/>
    <n v="8"/>
    <n v="2023"/>
    <s v="Wednesday"/>
    <x v="4"/>
    <n v="4"/>
    <n v="14551.09"/>
    <s v="Sanjay Mehta"/>
    <n v="23"/>
    <x v="4"/>
    <s v="Cash"/>
    <n v="4"/>
    <s v="iPhone SE"/>
  </r>
  <r>
    <n v="2433"/>
    <n v="30"/>
    <n v="8"/>
    <n v="2023"/>
    <s v="Wednesday"/>
    <x v="3"/>
    <n v="2"/>
    <n v="49707.44"/>
    <s v="Lalita Rao"/>
    <n v="59"/>
    <x v="9"/>
    <s v="Debit Card"/>
    <n v="5"/>
    <s v="Galaxy A51"/>
  </r>
  <r>
    <n v="2434"/>
    <n v="31"/>
    <n v="8"/>
    <n v="2023"/>
    <s v="Thursday"/>
    <x v="4"/>
    <n v="2"/>
    <n v="36893.68"/>
    <s v="Devendra Varma"/>
    <n v="27"/>
    <x v="12"/>
    <s v="Cash"/>
    <n v="4"/>
    <s v="iPhone 11"/>
  </r>
  <r>
    <n v="2435"/>
    <n v="31"/>
    <n v="8"/>
    <n v="2023"/>
    <s v="Thursday"/>
    <x v="2"/>
    <n v="9"/>
    <n v="36796.11"/>
    <s v="Shruti Shah"/>
    <n v="50"/>
    <x v="5"/>
    <s v="Cash"/>
    <n v="5"/>
    <s v="OnePlus 9"/>
  </r>
  <r>
    <n v="2436"/>
    <n v="31"/>
    <n v="8"/>
    <n v="2023"/>
    <s v="Thursday"/>
    <x v="1"/>
    <n v="1"/>
    <n v="37458.74"/>
    <s v="Tapan Varma"/>
    <n v="33"/>
    <x v="1"/>
    <s v="UPI"/>
    <n v="3"/>
    <s v="Vivo Y51"/>
  </r>
  <r>
    <n v="2437"/>
    <n v="31"/>
    <n v="8"/>
    <n v="2023"/>
    <s v="Thursday"/>
    <x v="1"/>
    <n v="7"/>
    <n v="25520.91"/>
    <s v="Manoj Iyer"/>
    <n v="53"/>
    <x v="6"/>
    <s v="UPI"/>
    <n v="4"/>
    <s v="Vivo V20"/>
  </r>
  <r>
    <n v="2438"/>
    <n v="1"/>
    <n v="9"/>
    <n v="2023"/>
    <s v="Friday"/>
    <x v="4"/>
    <n v="3"/>
    <n v="52933.77"/>
    <s v="Kavita Desai"/>
    <n v="23"/>
    <x v="2"/>
    <s v="Debit Card"/>
    <n v="5"/>
    <s v="iPhone SE"/>
  </r>
  <r>
    <n v="2439"/>
    <n v="1"/>
    <n v="9"/>
    <n v="2023"/>
    <s v="Friday"/>
    <x v="0"/>
    <n v="3"/>
    <n v="53294.59"/>
    <s v="Meena Srivastava"/>
    <n v="36"/>
    <x v="1"/>
    <s v="Debit Card"/>
    <n v="2"/>
    <s v="Redmi Note 10"/>
  </r>
  <r>
    <n v="2440"/>
    <n v="1"/>
    <n v="9"/>
    <n v="2023"/>
    <s v="Friday"/>
    <x v="1"/>
    <n v="2"/>
    <n v="26943.83"/>
    <s v="Jyoti Bhattacharya"/>
    <n v="48"/>
    <x v="1"/>
    <s v="Credit Card"/>
    <n v="5"/>
    <s v="Vivo Y51"/>
  </r>
  <r>
    <n v="2441"/>
    <n v="2"/>
    <n v="9"/>
    <n v="2023"/>
    <s v="Saturday"/>
    <x v="4"/>
    <n v="6"/>
    <n v="60118.39"/>
    <s v="Amit Sheth"/>
    <n v="19"/>
    <x v="16"/>
    <s v="Cash"/>
    <n v="5"/>
    <s v="iPhone SE"/>
  </r>
  <r>
    <n v="2442"/>
    <n v="2"/>
    <n v="9"/>
    <n v="2023"/>
    <s v="Saturday"/>
    <x v="2"/>
    <n v="2"/>
    <n v="29010.7"/>
    <s v="Prashant Rathod"/>
    <n v="35"/>
    <x v="2"/>
    <s v="UPI"/>
    <n v="4"/>
    <s v="OnePlus 8T"/>
  </r>
  <r>
    <n v="2443"/>
    <n v="2"/>
    <n v="9"/>
    <n v="2023"/>
    <s v="Saturday"/>
    <x v="4"/>
    <n v="4"/>
    <n v="53505.59"/>
    <s v="Anjali Rao"/>
    <n v="59"/>
    <x v="8"/>
    <s v="UPI"/>
    <n v="3"/>
    <s v="iPhone 11"/>
  </r>
  <r>
    <n v="2444"/>
    <n v="2"/>
    <n v="9"/>
    <n v="2023"/>
    <s v="Saturday"/>
    <x v="1"/>
    <n v="9"/>
    <n v="17259.990000000002"/>
    <s v="Prashant Rathod"/>
    <n v="45"/>
    <x v="1"/>
    <s v="Cash"/>
    <n v="4"/>
    <s v="Vivo V20"/>
  </r>
  <r>
    <n v="2445"/>
    <n v="3"/>
    <n v="9"/>
    <n v="2023"/>
    <s v="Sunday"/>
    <x v="2"/>
    <n v="9"/>
    <n v="20122.099999999999"/>
    <s v="Lata Rawat"/>
    <n v="21"/>
    <x v="4"/>
    <s v="Debit Card"/>
    <n v="5"/>
    <s v="OnePlus 8T"/>
  </r>
  <r>
    <n v="2446"/>
    <n v="3"/>
    <n v="9"/>
    <n v="2023"/>
    <s v="Sunday"/>
    <x v="4"/>
    <n v="6"/>
    <n v="28947.74"/>
    <s v="Lata Dutta"/>
    <n v="18"/>
    <x v="14"/>
    <s v="UPI"/>
    <n v="5"/>
    <s v="iPhone 11"/>
  </r>
  <r>
    <n v="2447"/>
    <n v="3"/>
    <n v="9"/>
    <n v="2023"/>
    <s v="Sunday"/>
    <x v="3"/>
    <n v="4"/>
    <n v="45632.43"/>
    <s v="Arun Kumar"/>
    <n v="59"/>
    <x v="6"/>
    <s v="Debit Card"/>
    <n v="2"/>
    <s v="Galaxy A51"/>
  </r>
  <r>
    <n v="2448"/>
    <n v="3"/>
    <n v="9"/>
    <n v="2023"/>
    <s v="Sunday"/>
    <x v="2"/>
    <n v="7"/>
    <n v="48730.69"/>
    <s v="Sumit Joshi"/>
    <n v="33"/>
    <x v="16"/>
    <s v="UPI"/>
    <n v="3"/>
    <s v="OnePlus 9"/>
  </r>
  <r>
    <n v="2449"/>
    <n v="4"/>
    <n v="9"/>
    <n v="2023"/>
    <s v="Monday"/>
    <x v="3"/>
    <n v="1"/>
    <n v="33781.370000000003"/>
    <s v="Namita Sheth"/>
    <n v="19"/>
    <x v="18"/>
    <s v="UPI"/>
    <n v="3"/>
    <s v="Galaxy S21"/>
  </r>
  <r>
    <n v="2450"/>
    <n v="4"/>
    <n v="9"/>
    <n v="2023"/>
    <s v="Monday"/>
    <x v="0"/>
    <n v="4"/>
    <n v="14670.35"/>
    <s v="Isha Dutta"/>
    <n v="53"/>
    <x v="8"/>
    <s v="Credit Card"/>
    <n v="5"/>
    <s v="Redmi 9"/>
  </r>
  <r>
    <n v="2451"/>
    <n v="4"/>
    <n v="9"/>
    <n v="2023"/>
    <s v="Monday"/>
    <x v="2"/>
    <n v="5"/>
    <n v="32418.080000000002"/>
    <s v="Vinod Nair"/>
    <n v="18"/>
    <x v="14"/>
    <s v="UPI"/>
    <n v="5"/>
    <s v="OnePlus Nord"/>
  </r>
  <r>
    <n v="2452"/>
    <n v="4"/>
    <n v="9"/>
    <n v="2023"/>
    <s v="Monday"/>
    <x v="3"/>
    <n v="8"/>
    <n v="51326.05"/>
    <s v="Namita Kapoor"/>
    <n v="56"/>
    <x v="2"/>
    <s v="Cash"/>
    <n v="4"/>
    <s v="Galaxy S21"/>
  </r>
  <r>
    <n v="2453"/>
    <n v="5"/>
    <n v="9"/>
    <n v="2023"/>
    <s v="Tuesday"/>
    <x v="1"/>
    <n v="2"/>
    <n v="50259.73"/>
    <s v="Kavita Kaur"/>
    <n v="40"/>
    <x v="8"/>
    <s v="Cash"/>
    <n v="4"/>
    <s v="Vivo S1"/>
  </r>
  <r>
    <n v="2454"/>
    <n v="5"/>
    <n v="9"/>
    <n v="2023"/>
    <s v="Tuesday"/>
    <x v="1"/>
    <n v="5"/>
    <n v="19611.78"/>
    <s v="Ramesh Joshi"/>
    <n v="43"/>
    <x v="16"/>
    <s v="Cash"/>
    <n v="2"/>
    <s v="Vivo V20"/>
  </r>
  <r>
    <n v="2455"/>
    <n v="5"/>
    <n v="9"/>
    <n v="2023"/>
    <s v="Tuesday"/>
    <x v="0"/>
    <n v="6"/>
    <n v="10467.040000000001"/>
    <s v="Reena Bhattacharya"/>
    <n v="28"/>
    <x v="0"/>
    <s v="Debit Card"/>
    <n v="5"/>
    <s v="Redmi 9"/>
  </r>
  <r>
    <n v="2456"/>
    <n v="6"/>
    <n v="9"/>
    <n v="2023"/>
    <s v="Wednesday"/>
    <x v="2"/>
    <n v="5"/>
    <n v="55178.9"/>
    <s v="Shruti Shah"/>
    <n v="59"/>
    <x v="1"/>
    <s v="UPI"/>
    <n v="4"/>
    <s v="OnePlus 9"/>
  </r>
  <r>
    <n v="2457"/>
    <n v="6"/>
    <n v="9"/>
    <n v="2023"/>
    <s v="Wednesday"/>
    <x v="2"/>
    <n v="9"/>
    <n v="16382.09"/>
    <s v="Lalita Thakur"/>
    <n v="18"/>
    <x v="1"/>
    <s v="Debit Card"/>
    <n v="2"/>
    <s v="OnePlus 9"/>
  </r>
  <r>
    <n v="2458"/>
    <n v="6"/>
    <n v="9"/>
    <n v="2023"/>
    <s v="Wednesday"/>
    <x v="2"/>
    <n v="1"/>
    <n v="14940.95"/>
    <s v="Sachin Shah"/>
    <n v="28"/>
    <x v="14"/>
    <s v="Credit Card"/>
    <n v="3"/>
    <s v="OnePlus Nord"/>
  </r>
  <r>
    <n v="2459"/>
    <n v="6"/>
    <n v="9"/>
    <n v="2023"/>
    <s v="Wednesday"/>
    <x v="0"/>
    <n v="3"/>
    <n v="10162.07"/>
    <s v="Pooja Kaur"/>
    <n v="41"/>
    <x v="1"/>
    <s v="UPI"/>
    <n v="5"/>
    <s v="Mi 11"/>
  </r>
  <r>
    <n v="2460"/>
    <n v="7"/>
    <n v="9"/>
    <n v="2023"/>
    <s v="Thursday"/>
    <x v="2"/>
    <n v="2"/>
    <n v="35956.080000000002"/>
    <s v="Bhavana Yadav"/>
    <n v="27"/>
    <x v="1"/>
    <s v="Cash"/>
    <n v="5"/>
    <s v="OnePlus 8T"/>
  </r>
  <r>
    <n v="2461"/>
    <n v="7"/>
    <n v="9"/>
    <n v="2023"/>
    <s v="Thursday"/>
    <x v="1"/>
    <n v="3"/>
    <n v="40195.83"/>
    <s v="Gita Rathod"/>
    <n v="31"/>
    <x v="7"/>
    <s v="Credit Card"/>
    <n v="5"/>
    <s v="Vivo S1"/>
  </r>
  <r>
    <n v="2462"/>
    <n v="7"/>
    <n v="9"/>
    <n v="2023"/>
    <s v="Thursday"/>
    <x v="3"/>
    <n v="9"/>
    <n v="48259.839999999997"/>
    <s v="Kiran Pathak"/>
    <n v="31"/>
    <x v="6"/>
    <s v="Credit Card"/>
    <n v="4"/>
    <s v="Galaxy S21"/>
  </r>
  <r>
    <n v="2463"/>
    <n v="7"/>
    <n v="9"/>
    <n v="2023"/>
    <s v="Thursday"/>
    <x v="1"/>
    <n v="9"/>
    <n v="27763.83"/>
    <s v="Sanjay Malhotra"/>
    <n v="24"/>
    <x v="2"/>
    <s v="UPI"/>
    <n v="5"/>
    <s v="Vivo S1"/>
  </r>
  <r>
    <n v="2464"/>
    <n v="8"/>
    <n v="9"/>
    <n v="2023"/>
    <s v="Friday"/>
    <x v="1"/>
    <n v="2"/>
    <n v="52625.48"/>
    <s v="Sachin Goyal"/>
    <n v="40"/>
    <x v="7"/>
    <s v="Cash"/>
    <n v="5"/>
    <s v="Vivo Y51"/>
  </r>
  <r>
    <n v="2465"/>
    <n v="8"/>
    <n v="9"/>
    <n v="2023"/>
    <s v="Friday"/>
    <x v="3"/>
    <n v="3"/>
    <n v="20159.91"/>
    <s v="Deepika Malhotra"/>
    <n v="39"/>
    <x v="17"/>
    <s v="Debit Card"/>
    <n v="5"/>
    <s v="Galaxy S21"/>
  </r>
  <r>
    <n v="2466"/>
    <n v="8"/>
    <n v="9"/>
    <n v="2023"/>
    <s v="Friday"/>
    <x v="1"/>
    <n v="4"/>
    <n v="59919.4"/>
    <s v="Sunil Rao"/>
    <n v="53"/>
    <x v="1"/>
    <s v="UPI"/>
    <n v="4"/>
    <s v="Vivo V20"/>
  </r>
  <r>
    <n v="2467"/>
    <n v="9"/>
    <n v="9"/>
    <n v="2023"/>
    <s v="Saturday"/>
    <x v="0"/>
    <n v="9"/>
    <n v="44310.9"/>
    <s v="Isha Luthra"/>
    <n v="44"/>
    <x v="1"/>
    <s v="Cash"/>
    <n v="3"/>
    <s v="Redmi Note 10"/>
  </r>
  <r>
    <n v="2468"/>
    <n v="9"/>
    <n v="9"/>
    <n v="2023"/>
    <s v="Saturday"/>
    <x v="3"/>
    <n v="3"/>
    <n v="45033.39"/>
    <s v="Umesh Chaudhary"/>
    <n v="19"/>
    <x v="2"/>
    <s v="Credit Card"/>
    <n v="4"/>
    <s v="Galaxy Note 20"/>
  </r>
  <r>
    <n v="2469"/>
    <n v="9"/>
    <n v="9"/>
    <n v="2023"/>
    <s v="Saturday"/>
    <x v="1"/>
    <n v="7"/>
    <n v="22586.52"/>
    <s v="Vinod Kaur"/>
    <n v="56"/>
    <x v="16"/>
    <s v="UPI"/>
    <n v="2"/>
    <s v="Vivo Y51"/>
  </r>
  <r>
    <n v="2470"/>
    <n v="9"/>
    <n v="9"/>
    <n v="2023"/>
    <s v="Saturday"/>
    <x v="4"/>
    <n v="3"/>
    <n v="14446.52"/>
    <s v="Sumit Solanki"/>
    <n v="36"/>
    <x v="1"/>
    <s v="Credit Card"/>
    <n v="4"/>
    <s v="iPhone 12"/>
  </r>
  <r>
    <n v="2471"/>
    <n v="10"/>
    <n v="9"/>
    <n v="2023"/>
    <s v="Sunday"/>
    <x v="1"/>
    <n v="7"/>
    <n v="37883.49"/>
    <s v="Radha Kumar"/>
    <n v="24"/>
    <x v="6"/>
    <s v="Cash"/>
    <n v="2"/>
    <s v="Vivo V20"/>
  </r>
  <r>
    <n v="2472"/>
    <n v="10"/>
    <n v="9"/>
    <n v="2023"/>
    <s v="Sunday"/>
    <x v="0"/>
    <n v="7"/>
    <n v="46936.72"/>
    <s v="Nikhil Deshmukh"/>
    <n v="29"/>
    <x v="2"/>
    <s v="Debit Card"/>
    <n v="5"/>
    <s v="Mi 11"/>
  </r>
  <r>
    <n v="2473"/>
    <n v="10"/>
    <n v="9"/>
    <n v="2023"/>
    <s v="Sunday"/>
    <x v="2"/>
    <n v="9"/>
    <n v="15702.79"/>
    <s v="Gita Mehta"/>
    <n v="20"/>
    <x v="12"/>
    <s v="Debit Card"/>
    <n v="2"/>
    <s v="OnePlus 8T"/>
  </r>
  <r>
    <n v="2474"/>
    <n v="10"/>
    <n v="9"/>
    <n v="2023"/>
    <s v="Sunday"/>
    <x v="1"/>
    <n v="2"/>
    <n v="67032.070000000007"/>
    <s v="Jyoti Kumar"/>
    <n v="22"/>
    <x v="2"/>
    <s v="Credit Card"/>
    <n v="5"/>
    <s v="Vivo V20"/>
  </r>
  <r>
    <n v="2475"/>
    <n v="11"/>
    <n v="9"/>
    <n v="2023"/>
    <s v="Monday"/>
    <x v="2"/>
    <n v="6"/>
    <n v="68824.86"/>
    <s v="Lata Kaur"/>
    <n v="25"/>
    <x v="1"/>
    <s v="Credit Card"/>
    <n v="2"/>
    <s v="OnePlus Nord"/>
  </r>
  <r>
    <n v="2476"/>
    <n v="11"/>
    <n v="9"/>
    <n v="2023"/>
    <s v="Monday"/>
    <x v="4"/>
    <n v="9"/>
    <n v="42727.4"/>
    <s v="Isha Yadav"/>
    <n v="31"/>
    <x v="7"/>
    <s v="Credit Card"/>
    <n v="4"/>
    <s v="iPhone SE"/>
  </r>
  <r>
    <n v="2477"/>
    <n v="11"/>
    <n v="9"/>
    <n v="2023"/>
    <s v="Monday"/>
    <x v="1"/>
    <n v="2"/>
    <n v="67004.149999999994"/>
    <s v="Namita Srivastava"/>
    <n v="53"/>
    <x v="1"/>
    <s v="UPI"/>
    <n v="5"/>
    <s v="Vivo S1"/>
  </r>
  <r>
    <n v="2478"/>
    <n v="12"/>
    <n v="9"/>
    <n v="2023"/>
    <s v="Tuesday"/>
    <x v="3"/>
    <n v="2"/>
    <n v="20766.71"/>
    <s v="Isha Menon"/>
    <n v="24"/>
    <x v="1"/>
    <s v="Cash"/>
    <n v="5"/>
    <s v="Galaxy Note 20"/>
  </r>
  <r>
    <n v="2479"/>
    <n v="12"/>
    <n v="9"/>
    <n v="2023"/>
    <s v="Tuesday"/>
    <x v="2"/>
    <n v="5"/>
    <n v="11525.24"/>
    <s v="Sumit Alva"/>
    <n v="24"/>
    <x v="11"/>
    <s v="Credit Card"/>
    <n v="2"/>
    <s v="OnePlus Nord"/>
  </r>
  <r>
    <n v="2480"/>
    <n v="12"/>
    <n v="9"/>
    <n v="2023"/>
    <s v="Tuesday"/>
    <x v="4"/>
    <n v="8"/>
    <n v="12364.57"/>
    <s v="Lata Bhattacharya"/>
    <n v="49"/>
    <x v="4"/>
    <s v="Credit Card"/>
    <n v="5"/>
    <s v="iPhone SE"/>
  </r>
  <r>
    <n v="2481"/>
    <n v="12"/>
    <n v="9"/>
    <n v="2023"/>
    <s v="Tuesday"/>
    <x v="3"/>
    <n v="9"/>
    <n v="45250.75"/>
    <s v="Shruti Chaudhary"/>
    <n v="25"/>
    <x v="2"/>
    <s v="Credit Card"/>
    <n v="2"/>
    <s v="Galaxy Note 20"/>
  </r>
  <r>
    <n v="2482"/>
    <n v="13"/>
    <n v="9"/>
    <n v="2023"/>
    <s v="Wednesday"/>
    <x v="3"/>
    <n v="2"/>
    <n v="13698.51"/>
    <s v="Rohan Mishra"/>
    <n v="29"/>
    <x v="10"/>
    <s v="Debit Card"/>
    <n v="2"/>
    <s v="Galaxy A51"/>
  </r>
  <r>
    <n v="2483"/>
    <n v="13"/>
    <n v="9"/>
    <n v="2023"/>
    <s v="Wednesday"/>
    <x v="3"/>
    <n v="5"/>
    <n v="67512.740000000005"/>
    <s v="Radha Kulkarni"/>
    <n v="27"/>
    <x v="14"/>
    <s v="Credit Card"/>
    <n v="2"/>
    <s v="Galaxy S21"/>
  </r>
  <r>
    <n v="2484"/>
    <n v="13"/>
    <n v="9"/>
    <n v="2023"/>
    <s v="Wednesday"/>
    <x v="3"/>
    <n v="7"/>
    <n v="18515.990000000002"/>
    <s v="Amit Sheth"/>
    <n v="31"/>
    <x v="2"/>
    <s v="Cash"/>
    <n v="4"/>
    <s v="Galaxy Note 20"/>
  </r>
  <r>
    <n v="2485"/>
    <n v="14"/>
    <n v="9"/>
    <n v="2023"/>
    <s v="Thursday"/>
    <x v="1"/>
    <n v="6"/>
    <n v="28283.37"/>
    <s v="Vijay Mishra"/>
    <n v="26"/>
    <x v="2"/>
    <s v="Debit Card"/>
    <n v="2"/>
    <s v="Vivo V20"/>
  </r>
  <r>
    <n v="2486"/>
    <n v="14"/>
    <n v="9"/>
    <n v="2023"/>
    <s v="Thursday"/>
    <x v="1"/>
    <n v="6"/>
    <n v="59351.07"/>
    <s v="Pankaj Nambiar"/>
    <n v="55"/>
    <x v="3"/>
    <s v="Cash"/>
    <n v="5"/>
    <s v="Vivo S1"/>
  </r>
  <r>
    <n v="2487"/>
    <n v="14"/>
    <n v="9"/>
    <n v="2023"/>
    <s v="Thursday"/>
    <x v="1"/>
    <n v="7"/>
    <n v="23124.42"/>
    <s v="Jyoti Jain"/>
    <n v="47"/>
    <x v="18"/>
    <s v="Debit Card"/>
    <n v="2"/>
    <s v="Vivo V20"/>
  </r>
  <r>
    <n v="2488"/>
    <n v="15"/>
    <n v="9"/>
    <n v="2023"/>
    <s v="Friday"/>
    <x v="4"/>
    <n v="3"/>
    <n v="24578.11"/>
    <s v="Krishna Mehta"/>
    <n v="22"/>
    <x v="3"/>
    <s v="Debit Card"/>
    <n v="3"/>
    <s v="iPhone 11"/>
  </r>
  <r>
    <n v="2489"/>
    <n v="15"/>
    <n v="9"/>
    <n v="2023"/>
    <s v="Friday"/>
    <x v="4"/>
    <n v="3"/>
    <n v="48538.54"/>
    <s v="Lalita Thakur"/>
    <n v="18"/>
    <x v="11"/>
    <s v="UPI"/>
    <n v="5"/>
    <s v="iPhone SE"/>
  </r>
  <r>
    <n v="2490"/>
    <n v="15"/>
    <n v="9"/>
    <n v="2023"/>
    <s v="Friday"/>
    <x v="4"/>
    <n v="9"/>
    <n v="26565.17"/>
    <s v="Anita Shah"/>
    <n v="18"/>
    <x v="3"/>
    <s v="Debit Card"/>
    <n v="4"/>
    <s v="iPhone 11"/>
  </r>
  <r>
    <n v="2491"/>
    <n v="15"/>
    <n v="9"/>
    <n v="2023"/>
    <s v="Friday"/>
    <x v="0"/>
    <n v="8"/>
    <n v="23046.86"/>
    <s v="Anjali Roy"/>
    <n v="37"/>
    <x v="2"/>
    <s v="Debit Card"/>
    <n v="3"/>
    <s v="Redmi 9"/>
  </r>
  <r>
    <n v="2492"/>
    <n v="16"/>
    <n v="9"/>
    <n v="2023"/>
    <s v="Saturday"/>
    <x v="4"/>
    <n v="5"/>
    <n v="25250.66"/>
    <s v="Jyoti Reddy"/>
    <n v="28"/>
    <x v="2"/>
    <s v="Cash"/>
    <n v="3"/>
    <s v="iPhone 11"/>
  </r>
  <r>
    <n v="2493"/>
    <n v="16"/>
    <n v="9"/>
    <n v="2023"/>
    <s v="Saturday"/>
    <x v="1"/>
    <n v="6"/>
    <n v="39438.85"/>
    <s v="Tanuja Goyal"/>
    <n v="43"/>
    <x v="12"/>
    <s v="Cash"/>
    <n v="5"/>
    <s v="Vivo Y51"/>
  </r>
  <r>
    <n v="2494"/>
    <n v="16"/>
    <n v="9"/>
    <n v="2023"/>
    <s v="Saturday"/>
    <x v="1"/>
    <n v="1"/>
    <n v="67965.990000000005"/>
    <s v="Anand Kapoor"/>
    <n v="20"/>
    <x v="10"/>
    <s v="Credit Card"/>
    <n v="5"/>
    <s v="Vivo V20"/>
  </r>
  <r>
    <n v="2495"/>
    <n v="16"/>
    <n v="9"/>
    <n v="2023"/>
    <s v="Saturday"/>
    <x v="0"/>
    <n v="1"/>
    <n v="59934.28"/>
    <s v="Umesh Ghosh"/>
    <n v="23"/>
    <x v="3"/>
    <s v="UPI"/>
    <n v="4"/>
    <s v="Mi 11"/>
  </r>
  <r>
    <n v="2496"/>
    <n v="17"/>
    <n v="9"/>
    <n v="2023"/>
    <s v="Sunday"/>
    <x v="0"/>
    <n v="4"/>
    <n v="27076.62"/>
    <s v="Meena Menon"/>
    <n v="28"/>
    <x v="1"/>
    <s v="Debit Card"/>
    <n v="4"/>
    <s v="Mi 11"/>
  </r>
  <r>
    <n v="2497"/>
    <n v="17"/>
    <n v="9"/>
    <n v="2023"/>
    <s v="Sunday"/>
    <x v="4"/>
    <n v="2"/>
    <n v="31802.39"/>
    <s v="Ayesha Solanki"/>
    <n v="25"/>
    <x v="10"/>
    <s v="UPI"/>
    <n v="5"/>
    <s v="iPhone 12"/>
  </r>
  <r>
    <n v="2498"/>
    <n v="17"/>
    <n v="9"/>
    <n v="2023"/>
    <s v="Sunday"/>
    <x v="2"/>
    <n v="7"/>
    <n v="37870.74"/>
    <s v="Sachin Kulkarni"/>
    <n v="46"/>
    <x v="10"/>
    <s v="Credit Card"/>
    <n v="2"/>
    <s v="OnePlus Nord"/>
  </r>
  <r>
    <n v="2499"/>
    <n v="17"/>
    <n v="9"/>
    <n v="2023"/>
    <s v="Sunday"/>
    <x v="0"/>
    <n v="2"/>
    <n v="68735.78"/>
    <s v="Vivek Srivastava"/>
    <n v="27"/>
    <x v="5"/>
    <s v="UPI"/>
    <n v="4"/>
    <s v="Redmi 9"/>
  </r>
  <r>
    <n v="2500"/>
    <n v="18"/>
    <n v="9"/>
    <n v="2023"/>
    <s v="Monday"/>
    <x v="3"/>
    <n v="2"/>
    <n v="20343.43"/>
    <s v="Sanjay Jain"/>
    <n v="51"/>
    <x v="8"/>
    <s v="Debit Card"/>
    <n v="4"/>
    <s v="Galaxy Note 20"/>
  </r>
  <r>
    <n v="2501"/>
    <n v="18"/>
    <n v="9"/>
    <n v="2023"/>
    <s v="Monday"/>
    <x v="1"/>
    <n v="5"/>
    <n v="31448.99"/>
    <s v="Anjali Thakur"/>
    <n v="41"/>
    <x v="1"/>
    <s v="Cash"/>
    <n v="2"/>
    <s v="Vivo V20"/>
  </r>
  <r>
    <n v="2502"/>
    <n v="18"/>
    <n v="9"/>
    <n v="2023"/>
    <s v="Monday"/>
    <x v="3"/>
    <n v="4"/>
    <n v="53765.57"/>
    <s v="Bina Roy"/>
    <n v="34"/>
    <x v="1"/>
    <s v="UPI"/>
    <n v="5"/>
    <s v="Galaxy A51"/>
  </r>
  <r>
    <n v="2503"/>
    <n v="18"/>
    <n v="9"/>
    <n v="2023"/>
    <s v="Monday"/>
    <x v="1"/>
    <n v="8"/>
    <n v="67836.62"/>
    <s v="Sachin Malhotra"/>
    <n v="49"/>
    <x v="4"/>
    <s v="Debit Card"/>
    <n v="5"/>
    <s v="Vivo V20"/>
  </r>
  <r>
    <n v="2504"/>
    <n v="19"/>
    <n v="9"/>
    <n v="2023"/>
    <s v="Tuesday"/>
    <x v="1"/>
    <n v="4"/>
    <n v="19340.509999999998"/>
    <s v="Prashant Deshmukh"/>
    <n v="28"/>
    <x v="12"/>
    <s v="Credit Card"/>
    <n v="5"/>
    <s v="Vivo Y51"/>
  </r>
  <r>
    <n v="2505"/>
    <n v="19"/>
    <n v="9"/>
    <n v="2023"/>
    <s v="Tuesday"/>
    <x v="0"/>
    <n v="6"/>
    <n v="23642.799999999999"/>
    <s v="Deepika Deshmukh"/>
    <n v="51"/>
    <x v="2"/>
    <s v="Debit Card"/>
    <n v="2"/>
    <s v="Redmi Note 10"/>
  </r>
  <r>
    <n v="2506"/>
    <n v="19"/>
    <n v="9"/>
    <n v="2023"/>
    <s v="Tuesday"/>
    <x v="0"/>
    <n v="5"/>
    <n v="23541.68"/>
    <s v="Ravi Prasad"/>
    <n v="41"/>
    <x v="1"/>
    <s v="UPI"/>
    <n v="5"/>
    <s v="Mi 11"/>
  </r>
  <r>
    <n v="2507"/>
    <n v="20"/>
    <n v="9"/>
    <n v="2023"/>
    <s v="Wednesday"/>
    <x v="3"/>
    <n v="2"/>
    <n v="11255.92"/>
    <s v="Sachin Malhotra"/>
    <n v="22"/>
    <x v="3"/>
    <s v="Debit Card"/>
    <n v="5"/>
    <s v="Galaxy A51"/>
  </r>
  <r>
    <n v="2508"/>
    <n v="20"/>
    <n v="9"/>
    <n v="2023"/>
    <s v="Wednesday"/>
    <x v="1"/>
    <n v="8"/>
    <n v="46246.94"/>
    <s v="Vinod Goyal"/>
    <n v="46"/>
    <x v="11"/>
    <s v="Debit Card"/>
    <n v="5"/>
    <s v="Vivo S1"/>
  </r>
  <r>
    <n v="2509"/>
    <n v="20"/>
    <n v="9"/>
    <n v="2023"/>
    <s v="Wednesday"/>
    <x v="3"/>
    <n v="2"/>
    <n v="50242.18"/>
    <s v="Arun Kaur"/>
    <n v="51"/>
    <x v="0"/>
    <s v="UPI"/>
    <n v="5"/>
    <s v="Galaxy A51"/>
  </r>
  <r>
    <n v="2510"/>
    <n v="20"/>
    <n v="9"/>
    <n v="2023"/>
    <s v="Wednesday"/>
    <x v="2"/>
    <n v="9"/>
    <n v="46151.55"/>
    <s v="Priya Siddiqui"/>
    <n v="33"/>
    <x v="15"/>
    <s v="UPI"/>
    <n v="2"/>
    <s v="OnePlus Nord"/>
  </r>
  <r>
    <n v="2511"/>
    <n v="21"/>
    <n v="9"/>
    <n v="2023"/>
    <s v="Thursday"/>
    <x v="3"/>
    <n v="9"/>
    <n v="14279.38"/>
    <s v="Neeta Singh"/>
    <n v="42"/>
    <x v="2"/>
    <s v="Credit Card"/>
    <n v="5"/>
    <s v="Galaxy S21"/>
  </r>
  <r>
    <n v="2512"/>
    <n v="21"/>
    <n v="9"/>
    <n v="2023"/>
    <s v="Thursday"/>
    <x v="4"/>
    <n v="3"/>
    <n v="14153.81"/>
    <s v="Isha Menon"/>
    <n v="54"/>
    <x v="1"/>
    <s v="Debit Card"/>
    <n v="5"/>
    <s v="iPhone 12"/>
  </r>
  <r>
    <n v="2513"/>
    <n v="21"/>
    <n v="9"/>
    <n v="2023"/>
    <s v="Thursday"/>
    <x v="3"/>
    <n v="4"/>
    <n v="22623.19"/>
    <s v="Sachin Ghosh"/>
    <n v="25"/>
    <x v="3"/>
    <s v="Cash"/>
    <n v="3"/>
    <s v="Galaxy S21"/>
  </r>
  <r>
    <n v="2514"/>
    <n v="22"/>
    <n v="9"/>
    <n v="2023"/>
    <s v="Friday"/>
    <x v="4"/>
    <n v="8"/>
    <n v="27417.67"/>
    <s v="Rohan Mishra"/>
    <n v="46"/>
    <x v="2"/>
    <s v="UPI"/>
    <n v="4"/>
    <s v="iPhone 11"/>
  </r>
  <r>
    <n v="2515"/>
    <n v="22"/>
    <n v="9"/>
    <n v="2023"/>
    <s v="Friday"/>
    <x v="4"/>
    <n v="9"/>
    <n v="57192.62"/>
    <s v="Ravi Patel"/>
    <n v="42"/>
    <x v="14"/>
    <s v="Debit Card"/>
    <n v="5"/>
    <s v="iPhone SE"/>
  </r>
  <r>
    <n v="2516"/>
    <n v="22"/>
    <n v="9"/>
    <n v="2023"/>
    <s v="Friday"/>
    <x v="4"/>
    <n v="3"/>
    <n v="19563.419999999998"/>
    <s v="Ayesha Ghosh"/>
    <n v="59"/>
    <x v="14"/>
    <s v="Cash"/>
    <n v="3"/>
    <s v="iPhone SE"/>
  </r>
  <r>
    <n v="2517"/>
    <n v="22"/>
    <n v="9"/>
    <n v="2023"/>
    <s v="Friday"/>
    <x v="2"/>
    <n v="5"/>
    <n v="12645.53"/>
    <s v="Isha Nair"/>
    <n v="40"/>
    <x v="2"/>
    <s v="Cash"/>
    <n v="2"/>
    <s v="OnePlus Nord"/>
  </r>
  <r>
    <n v="2518"/>
    <n v="23"/>
    <n v="9"/>
    <n v="2023"/>
    <s v="Saturday"/>
    <x v="3"/>
    <n v="8"/>
    <n v="33639.25"/>
    <s v="Lalita Ahuja"/>
    <n v="51"/>
    <x v="1"/>
    <s v="Debit Card"/>
    <n v="3"/>
    <s v="Galaxy S21"/>
  </r>
  <r>
    <n v="2519"/>
    <n v="23"/>
    <n v="9"/>
    <n v="2023"/>
    <s v="Saturday"/>
    <x v="3"/>
    <n v="3"/>
    <n v="34983.53"/>
    <s v="Anita Dutta"/>
    <n v="20"/>
    <x v="7"/>
    <s v="Debit Card"/>
    <n v="5"/>
    <s v="Galaxy S21"/>
  </r>
  <r>
    <n v="2520"/>
    <n v="23"/>
    <n v="9"/>
    <n v="2023"/>
    <s v="Saturday"/>
    <x v="2"/>
    <n v="7"/>
    <n v="37054.44"/>
    <s v="Deepika Reddy"/>
    <n v="47"/>
    <x v="1"/>
    <s v="Debit Card"/>
    <n v="2"/>
    <s v="OnePlus Nord"/>
  </r>
  <r>
    <n v="2521"/>
    <n v="23"/>
    <n v="9"/>
    <n v="2023"/>
    <s v="Saturday"/>
    <x v="1"/>
    <n v="8"/>
    <n v="59614.21"/>
    <s v="Ramesh Das"/>
    <n v="51"/>
    <x v="2"/>
    <s v="Cash"/>
    <n v="3"/>
    <s v="Vivo Y51"/>
  </r>
  <r>
    <n v="2522"/>
    <n v="24"/>
    <n v="9"/>
    <n v="2023"/>
    <s v="Sunday"/>
    <x v="0"/>
    <n v="3"/>
    <n v="15880.32"/>
    <s v="Ramesh Mishra"/>
    <n v="49"/>
    <x v="1"/>
    <s v="Debit Card"/>
    <n v="5"/>
    <s v="Redmi Note 10"/>
  </r>
  <r>
    <n v="2523"/>
    <n v="24"/>
    <n v="9"/>
    <n v="2023"/>
    <s v="Sunday"/>
    <x v="3"/>
    <n v="2"/>
    <n v="52236.52"/>
    <s v="Nikhil Yadav"/>
    <n v="46"/>
    <x v="13"/>
    <s v="UPI"/>
    <n v="2"/>
    <s v="Galaxy A51"/>
  </r>
  <r>
    <n v="2524"/>
    <n v="24"/>
    <n v="9"/>
    <n v="2023"/>
    <s v="Sunday"/>
    <x v="0"/>
    <n v="7"/>
    <n v="30276.73"/>
    <s v="Lalita Luthra"/>
    <n v="26"/>
    <x v="14"/>
    <s v="Cash"/>
    <n v="2"/>
    <s v="Redmi 9"/>
  </r>
  <r>
    <n v="2525"/>
    <n v="24"/>
    <n v="9"/>
    <n v="2023"/>
    <s v="Sunday"/>
    <x v="2"/>
    <n v="9"/>
    <n v="28598.81"/>
    <s v="Mala Pillai"/>
    <n v="19"/>
    <x v="2"/>
    <s v="UPI"/>
    <n v="4"/>
    <s v="OnePlus Nord"/>
  </r>
  <r>
    <n v="2526"/>
    <n v="25"/>
    <n v="9"/>
    <n v="2023"/>
    <s v="Monday"/>
    <x v="1"/>
    <n v="1"/>
    <n v="65952.59"/>
    <s v="Jyoti Ahuja"/>
    <n v="56"/>
    <x v="2"/>
    <s v="UPI"/>
    <n v="5"/>
    <s v="Vivo Y51"/>
  </r>
  <r>
    <n v="2527"/>
    <n v="25"/>
    <n v="9"/>
    <n v="2023"/>
    <s v="Monday"/>
    <x v="1"/>
    <n v="3"/>
    <n v="24908.11"/>
    <s v="Ravi Malhotra"/>
    <n v="24"/>
    <x v="1"/>
    <s v="Debit Card"/>
    <n v="4"/>
    <s v="Vivo S1"/>
  </r>
  <r>
    <n v="2528"/>
    <n v="25"/>
    <n v="9"/>
    <n v="2023"/>
    <s v="Monday"/>
    <x v="1"/>
    <n v="5"/>
    <n v="48551.91"/>
    <s v="Pankaj Teja"/>
    <n v="22"/>
    <x v="13"/>
    <s v="UPI"/>
    <n v="2"/>
    <s v="Vivo V20"/>
  </r>
  <r>
    <n v="2529"/>
    <n v="26"/>
    <n v="9"/>
    <n v="2023"/>
    <s v="Tuesday"/>
    <x v="2"/>
    <n v="3"/>
    <n v="26507.67"/>
    <s v="Nikhil Rathod"/>
    <n v="25"/>
    <x v="3"/>
    <s v="Debit Card"/>
    <n v="2"/>
    <s v="OnePlus 8T"/>
  </r>
  <r>
    <n v="2530"/>
    <n v="26"/>
    <n v="9"/>
    <n v="2023"/>
    <s v="Tuesday"/>
    <x v="4"/>
    <n v="1"/>
    <n v="40428.629999999997"/>
    <s v="Neeta Singh"/>
    <n v="49"/>
    <x v="14"/>
    <s v="Cash"/>
    <n v="3"/>
    <s v="iPhone 11"/>
  </r>
  <r>
    <n v="2531"/>
    <n v="26"/>
    <n v="9"/>
    <n v="2023"/>
    <s v="Tuesday"/>
    <x v="4"/>
    <n v="7"/>
    <n v="57177.57"/>
    <s v="Yogesh Ahuja"/>
    <n v="35"/>
    <x v="18"/>
    <s v="UPI"/>
    <n v="4"/>
    <s v="iPhone SE"/>
  </r>
  <r>
    <n v="2532"/>
    <n v="26"/>
    <n v="9"/>
    <n v="2023"/>
    <s v="Tuesday"/>
    <x v="0"/>
    <n v="7"/>
    <n v="62903.35"/>
    <s v="Pooja Menon"/>
    <n v="55"/>
    <x v="18"/>
    <s v="Debit Card"/>
    <n v="5"/>
    <s v="Redmi Note 10"/>
  </r>
  <r>
    <n v="2533"/>
    <n v="27"/>
    <n v="9"/>
    <n v="2023"/>
    <s v="Wednesday"/>
    <x v="4"/>
    <n v="8"/>
    <n v="60321.83"/>
    <s v="Radha Sheth"/>
    <n v="35"/>
    <x v="1"/>
    <s v="Credit Card"/>
    <n v="5"/>
    <s v="iPhone 12"/>
  </r>
  <r>
    <n v="2534"/>
    <n v="27"/>
    <n v="9"/>
    <n v="2023"/>
    <s v="Wednesday"/>
    <x v="4"/>
    <n v="5"/>
    <n v="44930.84"/>
    <s v="Tapan Bhattacharya"/>
    <n v="58"/>
    <x v="1"/>
    <s v="Debit Card"/>
    <n v="4"/>
    <s v="iPhone SE"/>
  </r>
  <r>
    <n v="2535"/>
    <n v="27"/>
    <n v="9"/>
    <n v="2023"/>
    <s v="Wednesday"/>
    <x v="1"/>
    <n v="5"/>
    <n v="24928.98"/>
    <s v="Pooja Deshmukh"/>
    <n v="33"/>
    <x v="11"/>
    <s v="Credit Card"/>
    <n v="2"/>
    <s v="Vivo S1"/>
  </r>
  <r>
    <n v="2536"/>
    <n v="27"/>
    <n v="9"/>
    <n v="2023"/>
    <s v="Wednesday"/>
    <x v="1"/>
    <n v="5"/>
    <n v="49674"/>
    <s v="Namita Rao"/>
    <n v="38"/>
    <x v="11"/>
    <s v="Debit Card"/>
    <n v="3"/>
    <s v="Vivo V20"/>
  </r>
  <r>
    <n v="2537"/>
    <n v="28"/>
    <n v="9"/>
    <n v="2023"/>
    <s v="Thursday"/>
    <x v="0"/>
    <n v="1"/>
    <n v="52594.3"/>
    <s v="Kavita Kaur"/>
    <n v="27"/>
    <x v="1"/>
    <s v="Credit Card"/>
    <n v="5"/>
    <s v="Mi 11"/>
  </r>
  <r>
    <n v="2538"/>
    <n v="28"/>
    <n v="9"/>
    <n v="2023"/>
    <s v="Thursday"/>
    <x v="3"/>
    <n v="5"/>
    <n v="10641.52"/>
    <s v="Neeta Pillai"/>
    <n v="59"/>
    <x v="2"/>
    <s v="UPI"/>
    <n v="5"/>
    <s v="Galaxy Note 20"/>
  </r>
  <r>
    <n v="2539"/>
    <n v="28"/>
    <n v="9"/>
    <n v="2023"/>
    <s v="Thursday"/>
    <x v="0"/>
    <n v="6"/>
    <n v="36352.629999999997"/>
    <s v="Namita Rao"/>
    <n v="21"/>
    <x v="7"/>
    <s v="Credit Card"/>
    <n v="3"/>
    <s v="Redmi 9"/>
  </r>
  <r>
    <n v="2540"/>
    <n v="28"/>
    <n v="9"/>
    <n v="2023"/>
    <s v="Thursday"/>
    <x v="0"/>
    <n v="1"/>
    <n v="60595.72"/>
    <s v="Yogesh Dutta"/>
    <n v="25"/>
    <x v="1"/>
    <s v="UPI"/>
    <n v="2"/>
    <s v="Redmi 9"/>
  </r>
  <r>
    <n v="2541"/>
    <n v="29"/>
    <n v="9"/>
    <n v="2023"/>
    <s v="Friday"/>
    <x v="2"/>
    <n v="7"/>
    <n v="39375.26"/>
    <s v="Aditya Siddiqui"/>
    <n v="36"/>
    <x v="18"/>
    <s v="UPI"/>
    <n v="5"/>
    <s v="OnePlus 9"/>
  </r>
  <r>
    <n v="2542"/>
    <n v="29"/>
    <n v="9"/>
    <n v="2023"/>
    <s v="Friday"/>
    <x v="2"/>
    <n v="1"/>
    <n v="28682.53"/>
    <s v="Isha Thakur"/>
    <n v="57"/>
    <x v="18"/>
    <s v="Debit Card"/>
    <n v="3"/>
    <s v="OnePlus 9"/>
  </r>
  <r>
    <n v="2543"/>
    <n v="29"/>
    <n v="9"/>
    <n v="2023"/>
    <s v="Friday"/>
    <x v="0"/>
    <n v="2"/>
    <n v="62307.87"/>
    <s v="Ravi Kumar"/>
    <n v="57"/>
    <x v="7"/>
    <s v="UPI"/>
    <n v="5"/>
    <s v="Redmi Note 10"/>
  </r>
  <r>
    <n v="2544"/>
    <n v="29"/>
    <n v="9"/>
    <n v="2023"/>
    <s v="Friday"/>
    <x v="0"/>
    <n v="2"/>
    <n v="19352.84"/>
    <s v="Shruti Menon"/>
    <n v="26"/>
    <x v="16"/>
    <s v="Cash"/>
    <n v="4"/>
    <s v="Redmi Note 10"/>
  </r>
  <r>
    <n v="2545"/>
    <n v="30"/>
    <n v="9"/>
    <n v="2023"/>
    <s v="Saturday"/>
    <x v="0"/>
    <n v="5"/>
    <n v="22386.71"/>
    <s v="Harish Sharma"/>
    <n v="47"/>
    <x v="1"/>
    <s v="Credit Card"/>
    <n v="5"/>
    <s v="Redmi 9"/>
  </r>
  <r>
    <n v="2546"/>
    <n v="30"/>
    <n v="9"/>
    <n v="2023"/>
    <s v="Saturday"/>
    <x v="4"/>
    <n v="7"/>
    <n v="51242.34"/>
    <s v="Isha Reddy"/>
    <n v="34"/>
    <x v="1"/>
    <s v="Debit Card"/>
    <n v="2"/>
    <s v="iPhone SE"/>
  </r>
  <r>
    <n v="2547"/>
    <n v="30"/>
    <n v="9"/>
    <n v="2023"/>
    <s v="Saturday"/>
    <x v="2"/>
    <n v="1"/>
    <n v="31146.16"/>
    <s v="Mala Srivastava"/>
    <n v="57"/>
    <x v="1"/>
    <s v="UPI"/>
    <n v="5"/>
    <s v="OnePlus 9"/>
  </r>
  <r>
    <n v="2548"/>
    <n v="1"/>
    <n v="10"/>
    <n v="2023"/>
    <s v="Sunday"/>
    <x v="0"/>
    <n v="1"/>
    <n v="52781.01"/>
    <s v="Arun Shah"/>
    <n v="32"/>
    <x v="1"/>
    <s v="Credit Card"/>
    <n v="2"/>
    <s v="Redmi 9"/>
  </r>
  <r>
    <n v="2549"/>
    <n v="1"/>
    <n v="10"/>
    <n v="2023"/>
    <s v="Sunday"/>
    <x v="1"/>
    <n v="1"/>
    <n v="19462.22"/>
    <s v="Navin Malhotra"/>
    <n v="21"/>
    <x v="2"/>
    <s v="Credit Card"/>
    <n v="4"/>
    <s v="Vivo S1"/>
  </r>
  <r>
    <n v="2550"/>
    <n v="1"/>
    <n v="10"/>
    <n v="2023"/>
    <s v="Sunday"/>
    <x v="1"/>
    <n v="6"/>
    <n v="25136.15"/>
    <s v="Meena Patel"/>
    <n v="23"/>
    <x v="15"/>
    <s v="Cash"/>
    <n v="5"/>
    <s v="Vivo V20"/>
  </r>
  <r>
    <n v="2551"/>
    <n v="1"/>
    <n v="10"/>
    <n v="2023"/>
    <s v="Sunday"/>
    <x v="4"/>
    <n v="2"/>
    <n v="19398.84"/>
    <s v="Vijay Solanki"/>
    <n v="33"/>
    <x v="17"/>
    <s v="Credit Card"/>
    <n v="2"/>
    <s v="iPhone 11"/>
  </r>
  <r>
    <n v="2552"/>
    <n v="2"/>
    <n v="10"/>
    <n v="2023"/>
    <s v="Monday"/>
    <x v="4"/>
    <n v="1"/>
    <n v="67174.62"/>
    <s v="Sanjay Malhotra"/>
    <n v="43"/>
    <x v="14"/>
    <s v="Debit Card"/>
    <n v="2"/>
    <s v="iPhone 11"/>
  </r>
  <r>
    <n v="2553"/>
    <n v="2"/>
    <n v="10"/>
    <n v="2023"/>
    <s v="Monday"/>
    <x v="3"/>
    <n v="6"/>
    <n v="34324.239999999998"/>
    <s v="Pooja Dutta"/>
    <n v="54"/>
    <x v="5"/>
    <s v="Debit Card"/>
    <n v="4"/>
    <s v="Galaxy S21"/>
  </r>
  <r>
    <n v="2554"/>
    <n v="2"/>
    <n v="10"/>
    <n v="2023"/>
    <s v="Monday"/>
    <x v="3"/>
    <n v="2"/>
    <n v="30233.19"/>
    <s v="Anand Arora"/>
    <n v="40"/>
    <x v="6"/>
    <s v="UPI"/>
    <n v="3"/>
    <s v="Galaxy Note 20"/>
  </r>
  <r>
    <n v="2555"/>
    <n v="3"/>
    <n v="10"/>
    <n v="2023"/>
    <s v="Tuesday"/>
    <x v="3"/>
    <n v="6"/>
    <n v="10852.13"/>
    <s v="Priyanka Alva"/>
    <n v="30"/>
    <x v="1"/>
    <s v="UPI"/>
    <n v="4"/>
    <s v="Galaxy A51"/>
  </r>
  <r>
    <n v="2556"/>
    <n v="3"/>
    <n v="10"/>
    <n v="2023"/>
    <s v="Tuesday"/>
    <x v="4"/>
    <n v="8"/>
    <n v="19205.05"/>
    <s v="Sumit Rathod"/>
    <n v="34"/>
    <x v="2"/>
    <s v="Debit Card"/>
    <n v="5"/>
    <s v="iPhone 11"/>
  </r>
  <r>
    <n v="2557"/>
    <n v="3"/>
    <n v="10"/>
    <n v="2023"/>
    <s v="Tuesday"/>
    <x v="4"/>
    <n v="2"/>
    <n v="35268.15"/>
    <s v="Rajesh Kulkarni"/>
    <n v="44"/>
    <x v="1"/>
    <s v="Credit Card"/>
    <n v="5"/>
    <s v="iPhone 12"/>
  </r>
  <r>
    <n v="2558"/>
    <n v="4"/>
    <n v="10"/>
    <n v="2023"/>
    <s v="Wednesday"/>
    <x v="4"/>
    <n v="9"/>
    <n v="14110.17"/>
    <s v="Harish Solanki"/>
    <n v="39"/>
    <x v="5"/>
    <s v="Credit Card"/>
    <n v="5"/>
    <s v="iPhone 12"/>
  </r>
  <r>
    <n v="2559"/>
    <n v="4"/>
    <n v="10"/>
    <n v="2023"/>
    <s v="Wednesday"/>
    <x v="1"/>
    <n v="8"/>
    <n v="40644.36"/>
    <s v="Sachin Prasad"/>
    <n v="54"/>
    <x v="9"/>
    <s v="Cash"/>
    <n v="2"/>
    <s v="Vivo Y51"/>
  </r>
  <r>
    <n v="2560"/>
    <n v="4"/>
    <n v="10"/>
    <n v="2023"/>
    <s v="Wednesday"/>
    <x v="4"/>
    <n v="1"/>
    <n v="37300.93"/>
    <s v="Sneha Ghosh"/>
    <n v="36"/>
    <x v="18"/>
    <s v="UPI"/>
    <n v="5"/>
    <s v="iPhone 11"/>
  </r>
  <r>
    <n v="2561"/>
    <n v="5"/>
    <n v="10"/>
    <n v="2023"/>
    <s v="Thursday"/>
    <x v="1"/>
    <n v="7"/>
    <n v="56030.09"/>
    <s v="Rajesh Kaur"/>
    <n v="56"/>
    <x v="6"/>
    <s v="Credit Card"/>
    <n v="3"/>
    <s v="Vivo S1"/>
  </r>
  <r>
    <n v="2562"/>
    <n v="5"/>
    <n v="10"/>
    <n v="2023"/>
    <s v="Thursday"/>
    <x v="3"/>
    <n v="6"/>
    <n v="49588.160000000003"/>
    <s v="Ravi Reddy"/>
    <n v="52"/>
    <x v="2"/>
    <s v="Credit Card"/>
    <n v="3"/>
    <s v="Galaxy Note 20"/>
  </r>
  <r>
    <n v="2563"/>
    <n v="5"/>
    <n v="10"/>
    <n v="2023"/>
    <s v="Thursday"/>
    <x v="3"/>
    <n v="6"/>
    <n v="36756.839999999997"/>
    <s v="Manoj Patel"/>
    <n v="30"/>
    <x v="1"/>
    <s v="UPI"/>
    <n v="4"/>
    <s v="Galaxy Note 20"/>
  </r>
  <r>
    <n v="2564"/>
    <n v="6"/>
    <n v="10"/>
    <n v="2023"/>
    <s v="Friday"/>
    <x v="3"/>
    <n v="6"/>
    <n v="23479.64"/>
    <s v="Deepika Kulkarni"/>
    <n v="31"/>
    <x v="8"/>
    <s v="Debit Card"/>
    <n v="5"/>
    <s v="Galaxy Note 20"/>
  </r>
  <r>
    <n v="2565"/>
    <n v="6"/>
    <n v="10"/>
    <n v="2023"/>
    <s v="Friday"/>
    <x v="0"/>
    <n v="6"/>
    <n v="53611.81"/>
    <s v="Ravi Prasad"/>
    <n v="48"/>
    <x v="1"/>
    <s v="Credit Card"/>
    <n v="5"/>
    <s v="Redmi 9"/>
  </r>
  <r>
    <n v="2566"/>
    <n v="6"/>
    <n v="10"/>
    <n v="2023"/>
    <s v="Friday"/>
    <x v="0"/>
    <n v="7"/>
    <n v="52471.73"/>
    <s v="Reena Dutta"/>
    <n v="19"/>
    <x v="1"/>
    <s v="Cash"/>
    <n v="5"/>
    <s v="Mi 11"/>
  </r>
  <r>
    <n v="2567"/>
    <n v="7"/>
    <n v="10"/>
    <n v="2023"/>
    <s v="Saturday"/>
    <x v="2"/>
    <n v="3"/>
    <n v="19197.77"/>
    <s v="Vinod Prasad"/>
    <n v="56"/>
    <x v="3"/>
    <s v="Credit Card"/>
    <n v="5"/>
    <s v="OnePlus Nord"/>
  </r>
  <r>
    <n v="2568"/>
    <n v="7"/>
    <n v="10"/>
    <n v="2023"/>
    <s v="Saturday"/>
    <x v="2"/>
    <n v="6"/>
    <n v="64885.11"/>
    <s v="Pankaj Nambiar"/>
    <n v="54"/>
    <x v="14"/>
    <s v="Credit Card"/>
    <n v="5"/>
    <s v="OnePlus Nord"/>
  </r>
  <r>
    <n v="2569"/>
    <n v="7"/>
    <n v="10"/>
    <n v="2023"/>
    <s v="Saturday"/>
    <x v="2"/>
    <n v="3"/>
    <n v="13864.31"/>
    <s v="Vivek Siddiqui"/>
    <n v="31"/>
    <x v="12"/>
    <s v="Cash"/>
    <n v="5"/>
    <s v="OnePlus 9"/>
  </r>
  <r>
    <n v="2570"/>
    <n v="8"/>
    <n v="10"/>
    <n v="2023"/>
    <s v="Sunday"/>
    <x v="0"/>
    <n v="7"/>
    <n v="13302.26"/>
    <s v="Neeta Ahuja"/>
    <n v="26"/>
    <x v="1"/>
    <s v="Debit Card"/>
    <n v="4"/>
    <s v="Redmi Note 10"/>
  </r>
  <r>
    <n v="2571"/>
    <n v="8"/>
    <n v="10"/>
    <n v="2023"/>
    <s v="Sunday"/>
    <x v="0"/>
    <n v="7"/>
    <n v="21241.03"/>
    <s v="Gita Dutta"/>
    <n v="27"/>
    <x v="8"/>
    <s v="Cash"/>
    <n v="4"/>
    <s v="Redmi 9"/>
  </r>
  <r>
    <n v="2572"/>
    <n v="8"/>
    <n v="10"/>
    <n v="2023"/>
    <s v="Sunday"/>
    <x v="2"/>
    <n v="8"/>
    <n v="64567.65"/>
    <s v="Bhavana Ghosh"/>
    <n v="24"/>
    <x v="17"/>
    <s v="Cash"/>
    <n v="4"/>
    <s v="OnePlus Nord"/>
  </r>
  <r>
    <n v="2573"/>
    <n v="8"/>
    <n v="10"/>
    <n v="2023"/>
    <s v="Sunday"/>
    <x v="2"/>
    <n v="2"/>
    <n v="41199.89"/>
    <s v="Monika Goyal"/>
    <n v="45"/>
    <x v="1"/>
    <s v="UPI"/>
    <n v="4"/>
    <s v="OnePlus Nord"/>
  </r>
  <r>
    <n v="2574"/>
    <n v="9"/>
    <n v="10"/>
    <n v="2023"/>
    <s v="Monday"/>
    <x v="4"/>
    <n v="9"/>
    <n v="57276.46"/>
    <s v="Anand Kapoor"/>
    <n v="42"/>
    <x v="17"/>
    <s v="Credit Card"/>
    <n v="3"/>
    <s v="iPhone 12"/>
  </r>
  <r>
    <n v="2575"/>
    <n v="9"/>
    <n v="10"/>
    <n v="2023"/>
    <s v="Monday"/>
    <x v="2"/>
    <n v="5"/>
    <n v="23670.59"/>
    <s v="Sunil Rawat"/>
    <n v="45"/>
    <x v="5"/>
    <s v="Debit Card"/>
    <n v="5"/>
    <s v="OnePlus Nord"/>
  </r>
  <r>
    <n v="2576"/>
    <n v="9"/>
    <n v="10"/>
    <n v="2023"/>
    <s v="Monday"/>
    <x v="4"/>
    <n v="9"/>
    <n v="39413.32"/>
    <s v="Sunil Arora"/>
    <n v="19"/>
    <x v="2"/>
    <s v="Credit Card"/>
    <n v="2"/>
    <s v="iPhone 12"/>
  </r>
  <r>
    <n v="2577"/>
    <n v="10"/>
    <n v="10"/>
    <n v="2023"/>
    <s v="Tuesday"/>
    <x v="1"/>
    <n v="5"/>
    <n v="31497.37"/>
    <s v="Sanjay Sheth"/>
    <n v="34"/>
    <x v="1"/>
    <s v="Debit Card"/>
    <n v="5"/>
    <s v="Vivo V20"/>
  </r>
  <r>
    <n v="2578"/>
    <n v="10"/>
    <n v="10"/>
    <n v="2023"/>
    <s v="Tuesday"/>
    <x v="0"/>
    <n v="7"/>
    <n v="59669.72"/>
    <s v="Pooja Goyal"/>
    <n v="21"/>
    <x v="6"/>
    <s v="Cash"/>
    <n v="4"/>
    <s v="Redmi 9"/>
  </r>
  <r>
    <n v="2579"/>
    <n v="10"/>
    <n v="10"/>
    <n v="2023"/>
    <s v="Tuesday"/>
    <x v="2"/>
    <n v="9"/>
    <n v="11356.27"/>
    <s v="Rohan Goyal"/>
    <n v="30"/>
    <x v="12"/>
    <s v="UPI"/>
    <n v="3"/>
    <s v="OnePlus Nord"/>
  </r>
  <r>
    <n v="2580"/>
    <n v="11"/>
    <n v="10"/>
    <n v="2023"/>
    <s v="Wednesday"/>
    <x v="0"/>
    <n v="4"/>
    <n v="24630.560000000001"/>
    <s v="Anand Mishra"/>
    <n v="35"/>
    <x v="1"/>
    <s v="Cash"/>
    <n v="3"/>
    <s v="Redmi 9"/>
  </r>
  <r>
    <n v="2581"/>
    <n v="11"/>
    <n v="10"/>
    <n v="2023"/>
    <s v="Wednesday"/>
    <x v="0"/>
    <n v="2"/>
    <n v="19154.45"/>
    <s v="Bina Deshmukh"/>
    <n v="20"/>
    <x v="13"/>
    <s v="Credit Card"/>
    <n v="5"/>
    <s v="Redmi Note 10"/>
  </r>
  <r>
    <n v="2582"/>
    <n v="11"/>
    <n v="10"/>
    <n v="2023"/>
    <s v="Wednesday"/>
    <x v="0"/>
    <n v="9"/>
    <n v="61551.34"/>
    <s v="Radha Sheth"/>
    <n v="54"/>
    <x v="4"/>
    <s v="UPI"/>
    <n v="2"/>
    <s v="Mi 11"/>
  </r>
  <r>
    <n v="2583"/>
    <n v="12"/>
    <n v="10"/>
    <n v="2023"/>
    <s v="Thursday"/>
    <x v="1"/>
    <n v="2"/>
    <n v="38052.629999999997"/>
    <s v="Bhavana Malhotra"/>
    <n v="50"/>
    <x v="2"/>
    <s v="UPI"/>
    <n v="4"/>
    <s v="Vivo S1"/>
  </r>
  <r>
    <n v="2584"/>
    <n v="12"/>
    <n v="10"/>
    <n v="2023"/>
    <s v="Thursday"/>
    <x v="3"/>
    <n v="3"/>
    <n v="34253.199999999997"/>
    <s v="Vijay Singh"/>
    <n v="58"/>
    <x v="3"/>
    <s v="Credit Card"/>
    <n v="3"/>
    <s v="Galaxy Note 20"/>
  </r>
  <r>
    <n v="2585"/>
    <n v="12"/>
    <n v="10"/>
    <n v="2023"/>
    <s v="Thursday"/>
    <x v="2"/>
    <n v="2"/>
    <n v="36968.97"/>
    <s v="Radha Sharma"/>
    <n v="41"/>
    <x v="12"/>
    <s v="Debit Card"/>
    <n v="4"/>
    <s v="OnePlus 8T"/>
  </r>
  <r>
    <n v="2586"/>
    <n v="12"/>
    <n v="10"/>
    <n v="2023"/>
    <s v="Thursday"/>
    <x v="3"/>
    <n v="3"/>
    <n v="68315.47"/>
    <s v="Priyanka Yadav"/>
    <n v="25"/>
    <x v="18"/>
    <s v="UPI"/>
    <n v="4"/>
    <s v="Galaxy Note 20"/>
  </r>
  <r>
    <n v="2587"/>
    <n v="13"/>
    <n v="10"/>
    <n v="2023"/>
    <s v="Friday"/>
    <x v="3"/>
    <n v="6"/>
    <n v="61016.04"/>
    <s v="Shruti Joshi"/>
    <n v="52"/>
    <x v="15"/>
    <s v="Debit Card"/>
    <n v="4"/>
    <s v="Galaxy Note 20"/>
  </r>
  <r>
    <n v="2588"/>
    <n v="13"/>
    <n v="10"/>
    <n v="2023"/>
    <s v="Friday"/>
    <x v="3"/>
    <n v="3"/>
    <n v="52382.13"/>
    <s v="Manoj Chatterjee"/>
    <n v="19"/>
    <x v="2"/>
    <s v="Debit Card"/>
    <n v="5"/>
    <s v="Galaxy Note 20"/>
  </r>
  <r>
    <n v="2589"/>
    <n v="13"/>
    <n v="10"/>
    <n v="2023"/>
    <s v="Friday"/>
    <x v="0"/>
    <n v="8"/>
    <n v="27428.74"/>
    <s v="Arun Shah"/>
    <n v="50"/>
    <x v="14"/>
    <s v="Debit Card"/>
    <n v="4"/>
    <s v="Redmi Note 10"/>
  </r>
  <r>
    <n v="2590"/>
    <n v="13"/>
    <n v="10"/>
    <n v="2023"/>
    <s v="Friday"/>
    <x v="4"/>
    <n v="6"/>
    <n v="19910.38"/>
    <s v="Radha Kumar"/>
    <n v="29"/>
    <x v="1"/>
    <s v="UPI"/>
    <n v="4"/>
    <s v="iPhone 12"/>
  </r>
  <r>
    <n v="2591"/>
    <n v="14"/>
    <n v="10"/>
    <n v="2023"/>
    <s v="Saturday"/>
    <x v="0"/>
    <n v="7"/>
    <n v="65286.02"/>
    <s v="Yogesh Malhotra"/>
    <n v="39"/>
    <x v="1"/>
    <s v="Cash"/>
    <n v="2"/>
    <s v="Redmi Note 10"/>
  </r>
  <r>
    <n v="2592"/>
    <n v="14"/>
    <n v="10"/>
    <n v="2023"/>
    <s v="Saturday"/>
    <x v="0"/>
    <n v="1"/>
    <n v="35384.53"/>
    <s v="Mala Malhotra"/>
    <n v="30"/>
    <x v="12"/>
    <s v="UPI"/>
    <n v="2"/>
    <s v="Mi 11"/>
  </r>
  <r>
    <n v="2593"/>
    <n v="14"/>
    <n v="10"/>
    <n v="2023"/>
    <s v="Saturday"/>
    <x v="3"/>
    <n v="3"/>
    <n v="26725.35"/>
    <s v="Priya Roy"/>
    <n v="27"/>
    <x v="16"/>
    <s v="Cash"/>
    <n v="5"/>
    <s v="Galaxy S21"/>
  </r>
  <r>
    <n v="2594"/>
    <n v="15"/>
    <n v="10"/>
    <n v="2023"/>
    <s v="Sunday"/>
    <x v="0"/>
    <n v="3"/>
    <n v="38255.25"/>
    <s v="Pooja Roy"/>
    <n v="34"/>
    <x v="6"/>
    <s v="UPI"/>
    <n v="5"/>
    <s v="Redmi 9"/>
  </r>
  <r>
    <n v="2595"/>
    <n v="15"/>
    <n v="10"/>
    <n v="2023"/>
    <s v="Sunday"/>
    <x v="3"/>
    <n v="2"/>
    <n v="65070.85"/>
    <s v="Meena Srivastava"/>
    <n v="22"/>
    <x v="1"/>
    <s v="Cash"/>
    <n v="4"/>
    <s v="Galaxy Note 20"/>
  </r>
  <r>
    <n v="2596"/>
    <n v="15"/>
    <n v="10"/>
    <n v="2023"/>
    <s v="Sunday"/>
    <x v="4"/>
    <n v="7"/>
    <n v="33224.04"/>
    <s v="Umesh Teja"/>
    <n v="26"/>
    <x v="1"/>
    <s v="Cash"/>
    <n v="3"/>
    <s v="iPhone SE"/>
  </r>
  <r>
    <n v="2597"/>
    <n v="15"/>
    <n v="10"/>
    <n v="2023"/>
    <s v="Sunday"/>
    <x v="2"/>
    <n v="9"/>
    <n v="43758.46"/>
    <s v="Amit Patel"/>
    <n v="30"/>
    <x v="1"/>
    <s v="UPI"/>
    <n v="3"/>
    <s v="OnePlus 8T"/>
  </r>
  <r>
    <n v="2598"/>
    <n v="16"/>
    <n v="10"/>
    <n v="2023"/>
    <s v="Monday"/>
    <x v="3"/>
    <n v="4"/>
    <n v="58177.98"/>
    <s v="Lalita Nambiar"/>
    <n v="40"/>
    <x v="10"/>
    <s v="Debit Card"/>
    <n v="5"/>
    <s v="Galaxy Note 20"/>
  </r>
  <r>
    <n v="2599"/>
    <n v="16"/>
    <n v="10"/>
    <n v="2023"/>
    <s v="Monday"/>
    <x v="4"/>
    <n v="5"/>
    <n v="35627.949999999997"/>
    <s v="Kiran Siddiqui"/>
    <n v="47"/>
    <x v="7"/>
    <s v="Debit Card"/>
    <n v="3"/>
    <s v="iPhone 11"/>
  </r>
  <r>
    <n v="2600"/>
    <n v="16"/>
    <n v="10"/>
    <n v="2023"/>
    <s v="Monday"/>
    <x v="2"/>
    <n v="3"/>
    <n v="24012.51"/>
    <s v="Krishna Jain"/>
    <n v="21"/>
    <x v="2"/>
    <s v="Cash"/>
    <n v="3"/>
    <s v="OnePlus 8T"/>
  </r>
  <r>
    <n v="2601"/>
    <n v="17"/>
    <n v="10"/>
    <n v="2023"/>
    <s v="Tuesday"/>
    <x v="1"/>
    <n v="9"/>
    <n v="69671.539999999994"/>
    <s v="Kunal Singh"/>
    <n v="38"/>
    <x v="8"/>
    <s v="Credit Card"/>
    <n v="2"/>
    <s v="Vivo S1"/>
  </r>
  <r>
    <n v="2602"/>
    <n v="17"/>
    <n v="10"/>
    <n v="2023"/>
    <s v="Tuesday"/>
    <x v="3"/>
    <n v="4"/>
    <n v="67394.25"/>
    <s v="Priyanka Roy"/>
    <n v="26"/>
    <x v="1"/>
    <s v="Credit Card"/>
    <n v="5"/>
    <s v="Galaxy Note 20"/>
  </r>
  <r>
    <n v="2603"/>
    <n v="17"/>
    <n v="10"/>
    <n v="2023"/>
    <s v="Tuesday"/>
    <x v="3"/>
    <n v="5"/>
    <n v="60608.75"/>
    <s v="Meena Mathur"/>
    <n v="24"/>
    <x v="10"/>
    <s v="UPI"/>
    <n v="5"/>
    <s v="Galaxy Note 20"/>
  </r>
  <r>
    <n v="2604"/>
    <n v="18"/>
    <n v="10"/>
    <n v="2023"/>
    <s v="Wednesday"/>
    <x v="1"/>
    <n v="1"/>
    <n v="51302.43"/>
    <s v="Kiran Siddiqui"/>
    <n v="33"/>
    <x v="8"/>
    <s v="UPI"/>
    <n v="2"/>
    <s v="Vivo V20"/>
  </r>
  <r>
    <n v="2605"/>
    <n v="18"/>
    <n v="10"/>
    <n v="2023"/>
    <s v="Wednesday"/>
    <x v="1"/>
    <n v="2"/>
    <n v="27691.94"/>
    <s v="Meena Malhotra"/>
    <n v="40"/>
    <x v="9"/>
    <s v="UPI"/>
    <n v="3"/>
    <s v="Vivo Y51"/>
  </r>
  <r>
    <n v="2606"/>
    <n v="18"/>
    <n v="10"/>
    <n v="2023"/>
    <s v="Wednesday"/>
    <x v="3"/>
    <n v="9"/>
    <n v="64804.78"/>
    <s v="Krishna Bhatnagar"/>
    <n v="40"/>
    <x v="9"/>
    <s v="Credit Card"/>
    <n v="3"/>
    <s v="Galaxy Note 20"/>
  </r>
  <r>
    <n v="2607"/>
    <n v="18"/>
    <n v="10"/>
    <n v="2023"/>
    <s v="Wednesday"/>
    <x v="1"/>
    <n v="2"/>
    <n v="26533.4"/>
    <s v="Prashant Sharma"/>
    <n v="48"/>
    <x v="1"/>
    <s v="Debit Card"/>
    <n v="5"/>
    <s v="Vivo Y51"/>
  </r>
  <r>
    <n v="2608"/>
    <n v="19"/>
    <n v="10"/>
    <n v="2023"/>
    <s v="Thursday"/>
    <x v="0"/>
    <n v="5"/>
    <n v="58048.57"/>
    <s v="Manoj Nambiar"/>
    <n v="22"/>
    <x v="5"/>
    <s v="UPI"/>
    <n v="3"/>
    <s v="Mi 11"/>
  </r>
  <r>
    <n v="2609"/>
    <n v="19"/>
    <n v="10"/>
    <n v="2023"/>
    <s v="Thursday"/>
    <x v="2"/>
    <n v="8"/>
    <n v="65095.49"/>
    <s v="Sumit Alva"/>
    <n v="23"/>
    <x v="1"/>
    <s v="UPI"/>
    <n v="5"/>
    <s v="OnePlus 8T"/>
  </r>
  <r>
    <n v="2610"/>
    <n v="19"/>
    <n v="10"/>
    <n v="2023"/>
    <s v="Thursday"/>
    <x v="2"/>
    <n v="3"/>
    <n v="46180.23"/>
    <s v="Sunita Nair"/>
    <n v="18"/>
    <x v="1"/>
    <s v="Debit Card"/>
    <n v="3"/>
    <s v="OnePlus 8T"/>
  </r>
  <r>
    <n v="2611"/>
    <n v="20"/>
    <n v="10"/>
    <n v="2023"/>
    <s v="Friday"/>
    <x v="2"/>
    <n v="6"/>
    <n v="58183.37"/>
    <s v="Bhavana Dutta"/>
    <n v="45"/>
    <x v="4"/>
    <s v="Cash"/>
    <n v="4"/>
    <s v="OnePlus Nord"/>
  </r>
  <r>
    <n v="2612"/>
    <n v="20"/>
    <n v="10"/>
    <n v="2023"/>
    <s v="Friday"/>
    <x v="0"/>
    <n v="4"/>
    <n v="57501.71"/>
    <s v="Bhavana Reddy"/>
    <n v="35"/>
    <x v="1"/>
    <s v="UPI"/>
    <n v="2"/>
    <s v="Redmi 9"/>
  </r>
  <r>
    <n v="2613"/>
    <n v="20"/>
    <n v="10"/>
    <n v="2023"/>
    <s v="Friday"/>
    <x v="1"/>
    <n v="7"/>
    <n v="21589.47"/>
    <s v="Umesh Bhattacharya"/>
    <n v="41"/>
    <x v="2"/>
    <s v="Credit Card"/>
    <n v="5"/>
    <s v="Vivo Y51"/>
  </r>
  <r>
    <n v="2614"/>
    <n v="20"/>
    <n v="10"/>
    <n v="2023"/>
    <s v="Friday"/>
    <x v="4"/>
    <n v="3"/>
    <n v="50075.47"/>
    <s v="Manoj Dutta"/>
    <n v="30"/>
    <x v="2"/>
    <s v="Credit Card"/>
    <n v="4"/>
    <s v="iPhone SE"/>
  </r>
  <r>
    <n v="2615"/>
    <n v="21"/>
    <n v="10"/>
    <n v="2023"/>
    <s v="Saturday"/>
    <x v="1"/>
    <n v="6"/>
    <n v="15608.08"/>
    <s v="Yogesh Dutta"/>
    <n v="50"/>
    <x v="2"/>
    <s v="UPI"/>
    <n v="3"/>
    <s v="Vivo V20"/>
  </r>
  <r>
    <n v="2616"/>
    <n v="21"/>
    <n v="10"/>
    <n v="2023"/>
    <s v="Saturday"/>
    <x v="3"/>
    <n v="9"/>
    <n v="40471.01"/>
    <s v="Vivek Rathod"/>
    <n v="27"/>
    <x v="1"/>
    <s v="Credit Card"/>
    <n v="5"/>
    <s v="Galaxy S21"/>
  </r>
  <r>
    <n v="2617"/>
    <n v="21"/>
    <n v="10"/>
    <n v="2023"/>
    <s v="Saturday"/>
    <x v="2"/>
    <n v="1"/>
    <n v="19734.13"/>
    <s v="Sachin Malhotra"/>
    <n v="24"/>
    <x v="3"/>
    <s v="Debit Card"/>
    <n v="4"/>
    <s v="OnePlus 8T"/>
  </r>
  <r>
    <n v="2618"/>
    <n v="21"/>
    <n v="10"/>
    <n v="2023"/>
    <s v="Saturday"/>
    <x v="1"/>
    <n v="3"/>
    <n v="34980.97"/>
    <s v="Tapan Kumar"/>
    <n v="54"/>
    <x v="1"/>
    <s v="Cash"/>
    <n v="2"/>
    <s v="Vivo Y51"/>
  </r>
  <r>
    <n v="2619"/>
    <n v="22"/>
    <n v="10"/>
    <n v="2023"/>
    <s v="Sunday"/>
    <x v="4"/>
    <n v="2"/>
    <n v="59978.92"/>
    <s v="Yogesh Menon"/>
    <n v="49"/>
    <x v="13"/>
    <s v="Cash"/>
    <n v="5"/>
    <s v="iPhone SE"/>
  </r>
  <r>
    <n v="2620"/>
    <n v="22"/>
    <n v="10"/>
    <n v="2023"/>
    <s v="Sunday"/>
    <x v="3"/>
    <n v="8"/>
    <n v="69230.070000000007"/>
    <s v="Bina Teja"/>
    <n v="39"/>
    <x v="17"/>
    <s v="UPI"/>
    <n v="5"/>
    <s v="Galaxy S21"/>
  </r>
  <r>
    <n v="2621"/>
    <n v="22"/>
    <n v="10"/>
    <n v="2023"/>
    <s v="Sunday"/>
    <x v="0"/>
    <n v="7"/>
    <n v="29077.59"/>
    <s v="Reena Menon"/>
    <n v="33"/>
    <x v="1"/>
    <s v="UPI"/>
    <n v="2"/>
    <s v="Mi 11"/>
  </r>
  <r>
    <n v="2622"/>
    <n v="23"/>
    <n v="10"/>
    <n v="2023"/>
    <s v="Monday"/>
    <x v="0"/>
    <n v="2"/>
    <n v="41917.339999999997"/>
    <s v="Aditya Sheth"/>
    <n v="41"/>
    <x v="16"/>
    <s v="Cash"/>
    <n v="4"/>
    <s v="Redmi Note 10"/>
  </r>
  <r>
    <n v="2623"/>
    <n v="23"/>
    <n v="10"/>
    <n v="2023"/>
    <s v="Monday"/>
    <x v="4"/>
    <n v="6"/>
    <n v="40677.879999999997"/>
    <s v="Anjali Das"/>
    <n v="31"/>
    <x v="5"/>
    <s v="Cash"/>
    <n v="5"/>
    <s v="iPhone SE"/>
  </r>
  <r>
    <n v="2624"/>
    <n v="23"/>
    <n v="10"/>
    <n v="2023"/>
    <s v="Monday"/>
    <x v="3"/>
    <n v="3"/>
    <n v="67264.09"/>
    <s v="Rohan Rao"/>
    <n v="28"/>
    <x v="2"/>
    <s v="UPI"/>
    <n v="2"/>
    <s v="Galaxy Note 20"/>
  </r>
  <r>
    <n v="2625"/>
    <n v="24"/>
    <n v="10"/>
    <n v="2023"/>
    <s v="Tuesday"/>
    <x v="2"/>
    <n v="8"/>
    <n v="38715.019999999997"/>
    <s v="Tapan Deshmukh"/>
    <n v="36"/>
    <x v="1"/>
    <s v="Credit Card"/>
    <n v="4"/>
    <s v="OnePlus 8T"/>
  </r>
  <r>
    <n v="2626"/>
    <n v="24"/>
    <n v="10"/>
    <n v="2023"/>
    <s v="Tuesday"/>
    <x v="1"/>
    <n v="3"/>
    <n v="51946.37"/>
    <s v="Rajesh Prasad"/>
    <n v="40"/>
    <x v="2"/>
    <s v="UPI"/>
    <n v="3"/>
    <s v="Vivo Y51"/>
  </r>
  <r>
    <n v="2627"/>
    <n v="24"/>
    <n v="10"/>
    <n v="2023"/>
    <s v="Tuesday"/>
    <x v="3"/>
    <n v="9"/>
    <n v="65307.35"/>
    <s v="Anand Nair"/>
    <n v="51"/>
    <x v="10"/>
    <s v="Debit Card"/>
    <n v="5"/>
    <s v="Galaxy S21"/>
  </r>
  <r>
    <n v="2628"/>
    <n v="24"/>
    <n v="10"/>
    <n v="2023"/>
    <s v="Tuesday"/>
    <x v="0"/>
    <n v="1"/>
    <n v="32402.71"/>
    <s v="Umesh Srivastava"/>
    <n v="57"/>
    <x v="18"/>
    <s v="UPI"/>
    <n v="3"/>
    <s v="Redmi 9"/>
  </r>
  <r>
    <n v="2629"/>
    <n v="25"/>
    <n v="10"/>
    <n v="2023"/>
    <s v="Wednesday"/>
    <x v="4"/>
    <n v="5"/>
    <n v="64127.33"/>
    <s v="Manoj Dutta"/>
    <n v="30"/>
    <x v="0"/>
    <s v="UPI"/>
    <n v="3"/>
    <s v="iPhone 12"/>
  </r>
  <r>
    <n v="2630"/>
    <n v="25"/>
    <n v="10"/>
    <n v="2023"/>
    <s v="Wednesday"/>
    <x v="4"/>
    <n v="3"/>
    <n v="65047.37"/>
    <s v="Krishna Roy"/>
    <n v="56"/>
    <x v="18"/>
    <s v="UPI"/>
    <n v="5"/>
    <s v="iPhone 12"/>
  </r>
  <r>
    <n v="2631"/>
    <n v="25"/>
    <n v="10"/>
    <n v="2023"/>
    <s v="Wednesday"/>
    <x v="1"/>
    <n v="6"/>
    <n v="65839.75"/>
    <s v="Jyoti Jain"/>
    <n v="45"/>
    <x v="2"/>
    <s v="UPI"/>
    <n v="3"/>
    <s v="Vivo Y51"/>
  </r>
  <r>
    <n v="2632"/>
    <n v="26"/>
    <n v="10"/>
    <n v="2023"/>
    <s v="Thursday"/>
    <x v="4"/>
    <n v="2"/>
    <n v="26226.77"/>
    <s v="Priya Roy"/>
    <n v="57"/>
    <x v="1"/>
    <s v="UPI"/>
    <n v="3"/>
    <s v="iPhone SE"/>
  </r>
  <r>
    <n v="2633"/>
    <n v="26"/>
    <n v="10"/>
    <n v="2023"/>
    <s v="Thursday"/>
    <x v="4"/>
    <n v="9"/>
    <n v="34021.339999999997"/>
    <s v="Lata Patel"/>
    <n v="33"/>
    <x v="8"/>
    <s v="UPI"/>
    <n v="2"/>
    <s v="iPhone SE"/>
  </r>
  <r>
    <n v="2634"/>
    <n v="26"/>
    <n v="10"/>
    <n v="2023"/>
    <s v="Thursday"/>
    <x v="3"/>
    <n v="6"/>
    <n v="62223.75"/>
    <s v="Pooja Ahuja"/>
    <n v="45"/>
    <x v="1"/>
    <s v="Credit Card"/>
    <n v="2"/>
    <s v="Galaxy Note 20"/>
  </r>
  <r>
    <n v="2635"/>
    <n v="27"/>
    <n v="10"/>
    <n v="2023"/>
    <s v="Friday"/>
    <x v="2"/>
    <n v="7"/>
    <n v="31549.71"/>
    <s v="Namita Rao"/>
    <n v="21"/>
    <x v="16"/>
    <s v="UPI"/>
    <n v="4"/>
    <s v="OnePlus Nord"/>
  </r>
  <r>
    <n v="2636"/>
    <n v="27"/>
    <n v="10"/>
    <n v="2023"/>
    <s v="Friday"/>
    <x v="1"/>
    <n v="5"/>
    <n v="46015.18"/>
    <s v="Kiran Alva"/>
    <n v="45"/>
    <x v="13"/>
    <s v="Cash"/>
    <n v="5"/>
    <s v="Vivo Y51"/>
  </r>
  <r>
    <n v="2637"/>
    <n v="27"/>
    <n v="10"/>
    <n v="2023"/>
    <s v="Friday"/>
    <x v="3"/>
    <n v="9"/>
    <n v="17083.27"/>
    <s v="Monika Solanki"/>
    <n v="29"/>
    <x v="15"/>
    <s v="UPI"/>
    <n v="4"/>
    <s v="Galaxy Note 20"/>
  </r>
  <r>
    <n v="2638"/>
    <n v="28"/>
    <n v="10"/>
    <n v="2023"/>
    <s v="Saturday"/>
    <x v="2"/>
    <n v="1"/>
    <n v="13376.5"/>
    <s v="Neeta Solanki"/>
    <n v="33"/>
    <x v="7"/>
    <s v="Credit Card"/>
    <n v="2"/>
    <s v="OnePlus Nord"/>
  </r>
  <r>
    <n v="2639"/>
    <n v="28"/>
    <n v="10"/>
    <n v="2023"/>
    <s v="Saturday"/>
    <x v="3"/>
    <n v="5"/>
    <n v="34719.64"/>
    <s v="Anita Arora"/>
    <n v="53"/>
    <x v="0"/>
    <s v="Debit Card"/>
    <n v="2"/>
    <s v="Galaxy A51"/>
  </r>
  <r>
    <n v="2640"/>
    <n v="28"/>
    <n v="10"/>
    <n v="2023"/>
    <s v="Saturday"/>
    <x v="3"/>
    <n v="6"/>
    <n v="44734.99"/>
    <s v="Ayesha Menon"/>
    <n v="37"/>
    <x v="7"/>
    <s v="Cash"/>
    <n v="5"/>
    <s v="Galaxy A51"/>
  </r>
  <r>
    <n v="2641"/>
    <n v="28"/>
    <n v="10"/>
    <n v="2023"/>
    <s v="Saturday"/>
    <x v="4"/>
    <n v="7"/>
    <n v="33561.949999999997"/>
    <s v="Vijay Malhotra"/>
    <n v="43"/>
    <x v="2"/>
    <s v="UPI"/>
    <n v="5"/>
    <s v="iPhone SE"/>
  </r>
  <r>
    <n v="2642"/>
    <n v="29"/>
    <n v="10"/>
    <n v="2023"/>
    <s v="Sunday"/>
    <x v="2"/>
    <n v="4"/>
    <n v="44664.15"/>
    <s v="Sunil Siddiqui"/>
    <n v="43"/>
    <x v="18"/>
    <s v="UPI"/>
    <n v="2"/>
    <s v="OnePlus 9"/>
  </r>
  <r>
    <n v="2643"/>
    <n v="29"/>
    <n v="10"/>
    <n v="2023"/>
    <s v="Sunday"/>
    <x v="1"/>
    <n v="1"/>
    <n v="40905.06"/>
    <s v="Radha Dutta"/>
    <n v="39"/>
    <x v="17"/>
    <s v="Cash"/>
    <n v="3"/>
    <s v="Vivo Y51"/>
  </r>
  <r>
    <n v="2644"/>
    <n v="29"/>
    <n v="10"/>
    <n v="2023"/>
    <s v="Sunday"/>
    <x v="1"/>
    <n v="8"/>
    <n v="51142.43"/>
    <s v="Radha Varma"/>
    <n v="26"/>
    <x v="9"/>
    <s v="UPI"/>
    <n v="4"/>
    <s v="Vivo Y51"/>
  </r>
  <r>
    <n v="2645"/>
    <n v="29"/>
    <n v="10"/>
    <n v="2023"/>
    <s v="Sunday"/>
    <x v="2"/>
    <n v="4"/>
    <n v="48971.95"/>
    <s v="Reena Deshmukh"/>
    <n v="22"/>
    <x v="5"/>
    <s v="Credit Card"/>
    <n v="2"/>
    <s v="OnePlus 8T"/>
  </r>
  <r>
    <n v="2646"/>
    <n v="30"/>
    <n v="10"/>
    <n v="2023"/>
    <s v="Monday"/>
    <x v="4"/>
    <n v="3"/>
    <n v="35454.74"/>
    <s v="Vinod Chatterjee"/>
    <n v="34"/>
    <x v="2"/>
    <s v="UPI"/>
    <n v="2"/>
    <s v="iPhone 11"/>
  </r>
  <r>
    <n v="2647"/>
    <n v="30"/>
    <n v="10"/>
    <n v="2023"/>
    <s v="Monday"/>
    <x v="0"/>
    <n v="7"/>
    <n v="35499.71"/>
    <s v="Ramesh Joshi"/>
    <n v="51"/>
    <x v="1"/>
    <s v="Debit Card"/>
    <n v="5"/>
    <s v="Redmi Note 10"/>
  </r>
  <r>
    <n v="2648"/>
    <n v="30"/>
    <n v="10"/>
    <n v="2023"/>
    <s v="Monday"/>
    <x v="3"/>
    <n v="2"/>
    <n v="18446.7"/>
    <s v="Vinod Srivastava"/>
    <n v="19"/>
    <x v="1"/>
    <s v="Credit Card"/>
    <n v="4"/>
    <s v="Galaxy A51"/>
  </r>
  <r>
    <n v="2649"/>
    <n v="31"/>
    <n v="10"/>
    <n v="2023"/>
    <s v="Tuesday"/>
    <x v="4"/>
    <n v="8"/>
    <n v="40794.31"/>
    <s v="Meena Das"/>
    <n v="24"/>
    <x v="2"/>
    <s v="UPI"/>
    <n v="4"/>
    <s v="iPhone SE"/>
  </r>
  <r>
    <n v="2650"/>
    <n v="31"/>
    <n v="10"/>
    <n v="2023"/>
    <s v="Tuesday"/>
    <x v="2"/>
    <n v="6"/>
    <n v="45230.75"/>
    <s v="Lalita Desai"/>
    <n v="53"/>
    <x v="18"/>
    <s v="Debit Card"/>
    <n v="5"/>
    <s v="OnePlus Nord"/>
  </r>
  <r>
    <n v="2651"/>
    <n v="31"/>
    <n v="10"/>
    <n v="2023"/>
    <s v="Tuesday"/>
    <x v="3"/>
    <n v="7"/>
    <n v="38589.360000000001"/>
    <s v="Rajesh Nambiar"/>
    <n v="30"/>
    <x v="2"/>
    <s v="Cash"/>
    <n v="2"/>
    <s v="Galaxy Note 20"/>
  </r>
  <r>
    <n v="2652"/>
    <n v="31"/>
    <n v="10"/>
    <n v="2023"/>
    <s v="Tuesday"/>
    <x v="1"/>
    <n v="5"/>
    <n v="29542.44"/>
    <s v="Meena Yadav"/>
    <n v="37"/>
    <x v="6"/>
    <s v="Credit Card"/>
    <n v="5"/>
    <s v="Vivo V20"/>
  </r>
  <r>
    <n v="2653"/>
    <n v="1"/>
    <n v="11"/>
    <n v="2023"/>
    <s v="Wednesday"/>
    <x v="0"/>
    <n v="9"/>
    <n v="53298.91"/>
    <s v="Ravi Patel"/>
    <n v="47"/>
    <x v="11"/>
    <s v="UPI"/>
    <n v="5"/>
    <s v="Redmi Note 10"/>
  </r>
  <r>
    <n v="2654"/>
    <n v="1"/>
    <n v="11"/>
    <n v="2023"/>
    <s v="Wednesday"/>
    <x v="1"/>
    <n v="5"/>
    <n v="14479.7"/>
    <s v="Lalita Dutta"/>
    <n v="47"/>
    <x v="1"/>
    <s v="UPI"/>
    <n v="5"/>
    <s v="Vivo S1"/>
  </r>
  <r>
    <n v="2655"/>
    <n v="1"/>
    <n v="11"/>
    <n v="2023"/>
    <s v="Wednesday"/>
    <x v="2"/>
    <n v="5"/>
    <n v="64866.42"/>
    <s v="Ravi Prasad"/>
    <n v="28"/>
    <x v="10"/>
    <s v="Cash"/>
    <n v="3"/>
    <s v="OnePlus 8T"/>
  </r>
  <r>
    <n v="2656"/>
    <n v="1"/>
    <n v="11"/>
    <n v="2023"/>
    <s v="Wednesday"/>
    <x v="3"/>
    <n v="3"/>
    <n v="11238.61"/>
    <s v="Shruti Menon"/>
    <n v="48"/>
    <x v="2"/>
    <s v="Cash"/>
    <n v="2"/>
    <s v="Galaxy A51"/>
  </r>
  <r>
    <n v="2657"/>
    <n v="2"/>
    <n v="11"/>
    <n v="2023"/>
    <s v="Thursday"/>
    <x v="2"/>
    <n v="1"/>
    <n v="67741.009999999995"/>
    <s v="Sneha Malhotra"/>
    <n v="20"/>
    <x v="1"/>
    <s v="Credit Card"/>
    <n v="2"/>
    <s v="OnePlus 8T"/>
  </r>
  <r>
    <n v="2658"/>
    <n v="2"/>
    <n v="11"/>
    <n v="2023"/>
    <s v="Thursday"/>
    <x v="3"/>
    <n v="2"/>
    <n v="37741.339999999997"/>
    <s v="Anand Pillai"/>
    <n v="19"/>
    <x v="4"/>
    <s v="Credit Card"/>
    <n v="4"/>
    <s v="Galaxy A51"/>
  </r>
  <r>
    <n v="2659"/>
    <n v="2"/>
    <n v="11"/>
    <n v="2023"/>
    <s v="Thursday"/>
    <x v="4"/>
    <n v="8"/>
    <n v="34760.199999999997"/>
    <s v="Prashant Gupta"/>
    <n v="20"/>
    <x v="1"/>
    <s v="Credit Card"/>
    <n v="5"/>
    <s v="iPhone SE"/>
  </r>
  <r>
    <n v="2660"/>
    <n v="2"/>
    <n v="11"/>
    <n v="2023"/>
    <s v="Thursday"/>
    <x v="0"/>
    <n v="1"/>
    <n v="25386.639999999999"/>
    <s v="Kavita Iyer"/>
    <n v="32"/>
    <x v="11"/>
    <s v="UPI"/>
    <n v="4"/>
    <s v="Redmi Note 10"/>
  </r>
  <r>
    <n v="2661"/>
    <n v="3"/>
    <n v="11"/>
    <n v="2023"/>
    <s v="Friday"/>
    <x v="4"/>
    <n v="7"/>
    <n v="10604.27"/>
    <s v="Pankaj Jain"/>
    <n v="34"/>
    <x v="9"/>
    <s v="UPI"/>
    <n v="5"/>
    <s v="iPhone 11"/>
  </r>
  <r>
    <n v="2662"/>
    <n v="3"/>
    <n v="11"/>
    <n v="2023"/>
    <s v="Friday"/>
    <x v="4"/>
    <n v="5"/>
    <n v="26487.42"/>
    <s v="Priya Mehta"/>
    <n v="24"/>
    <x v="2"/>
    <s v="Credit Card"/>
    <n v="5"/>
    <s v="iPhone 12"/>
  </r>
  <r>
    <n v="2663"/>
    <n v="3"/>
    <n v="11"/>
    <n v="2023"/>
    <s v="Friday"/>
    <x v="2"/>
    <n v="3"/>
    <n v="16564"/>
    <s v="Tanuja Ahuja"/>
    <n v="22"/>
    <x v="10"/>
    <s v="UPI"/>
    <n v="5"/>
    <s v="OnePlus 9"/>
  </r>
  <r>
    <n v="2664"/>
    <n v="3"/>
    <n v="11"/>
    <n v="2023"/>
    <s v="Friday"/>
    <x v="0"/>
    <n v="7"/>
    <n v="49589.25"/>
    <s v="Kiran Mathur"/>
    <n v="51"/>
    <x v="1"/>
    <s v="Cash"/>
    <n v="5"/>
    <s v="Redmi 9"/>
  </r>
  <r>
    <n v="2665"/>
    <n v="4"/>
    <n v="11"/>
    <n v="2023"/>
    <s v="Saturday"/>
    <x v="3"/>
    <n v="9"/>
    <n v="29144.5"/>
    <s v="Harish Patel"/>
    <n v="50"/>
    <x v="2"/>
    <s v="Debit Card"/>
    <n v="4"/>
    <s v="Galaxy Note 20"/>
  </r>
  <r>
    <n v="2666"/>
    <n v="4"/>
    <n v="11"/>
    <n v="2023"/>
    <s v="Saturday"/>
    <x v="3"/>
    <n v="2"/>
    <n v="56030.76"/>
    <s v="Krishna Nambiar"/>
    <n v="33"/>
    <x v="16"/>
    <s v="UPI"/>
    <n v="5"/>
    <s v="Galaxy Note 20"/>
  </r>
  <r>
    <n v="2667"/>
    <n v="4"/>
    <n v="11"/>
    <n v="2023"/>
    <s v="Saturday"/>
    <x v="1"/>
    <n v="8"/>
    <n v="22414.97"/>
    <s v="Anjali Varma"/>
    <n v="54"/>
    <x v="6"/>
    <s v="Credit Card"/>
    <n v="5"/>
    <s v="Vivo S1"/>
  </r>
  <r>
    <n v="2668"/>
    <n v="4"/>
    <n v="11"/>
    <n v="2023"/>
    <s v="Saturday"/>
    <x v="3"/>
    <n v="9"/>
    <n v="64014.09"/>
    <s v="Shruti Ahuja"/>
    <n v="20"/>
    <x v="1"/>
    <s v="UPI"/>
    <n v="2"/>
    <s v="Galaxy A51"/>
  </r>
  <r>
    <n v="2669"/>
    <n v="5"/>
    <n v="11"/>
    <n v="2023"/>
    <s v="Sunday"/>
    <x v="2"/>
    <n v="3"/>
    <n v="41378.89"/>
    <s v="Anand Siddiqui"/>
    <n v="38"/>
    <x v="5"/>
    <s v="Cash"/>
    <n v="2"/>
    <s v="OnePlus Nord"/>
  </r>
  <r>
    <n v="2670"/>
    <n v="5"/>
    <n v="11"/>
    <n v="2023"/>
    <s v="Sunday"/>
    <x v="4"/>
    <n v="2"/>
    <n v="16870.37"/>
    <s v="Sanjay Jain"/>
    <n v="58"/>
    <x v="2"/>
    <s v="Credit Card"/>
    <n v="2"/>
    <s v="iPhone 11"/>
  </r>
  <r>
    <n v="2671"/>
    <n v="5"/>
    <n v="11"/>
    <n v="2023"/>
    <s v="Sunday"/>
    <x v="4"/>
    <n v="7"/>
    <n v="34050.71"/>
    <s v="Pankaj Gupta"/>
    <n v="25"/>
    <x v="1"/>
    <s v="Debit Card"/>
    <n v="3"/>
    <s v="iPhone SE"/>
  </r>
  <r>
    <n v="2672"/>
    <n v="6"/>
    <n v="11"/>
    <n v="2023"/>
    <s v="Monday"/>
    <x v="4"/>
    <n v="5"/>
    <n v="22405.63"/>
    <s v="Vijay Rawat"/>
    <n v="39"/>
    <x v="1"/>
    <s v="Credit Card"/>
    <n v="2"/>
    <s v="iPhone SE"/>
  </r>
  <r>
    <n v="2673"/>
    <n v="6"/>
    <n v="11"/>
    <n v="2023"/>
    <s v="Monday"/>
    <x v="0"/>
    <n v="5"/>
    <n v="21981.13"/>
    <s v="Sachin Varma"/>
    <n v="22"/>
    <x v="1"/>
    <s v="Credit Card"/>
    <n v="3"/>
    <s v="Redmi Note 10"/>
  </r>
  <r>
    <n v="2674"/>
    <n v="6"/>
    <n v="11"/>
    <n v="2023"/>
    <s v="Monday"/>
    <x v="3"/>
    <n v="5"/>
    <n v="40382.18"/>
    <s v="Sunil Reddy"/>
    <n v="34"/>
    <x v="15"/>
    <s v="Credit Card"/>
    <n v="3"/>
    <s v="Galaxy A51"/>
  </r>
  <r>
    <n v="2675"/>
    <n v="7"/>
    <n v="11"/>
    <n v="2023"/>
    <s v="Tuesday"/>
    <x v="2"/>
    <n v="4"/>
    <n v="50313.52"/>
    <s v="Prashant Deshmukh"/>
    <n v="54"/>
    <x v="6"/>
    <s v="UPI"/>
    <n v="4"/>
    <s v="OnePlus Nord"/>
  </r>
  <r>
    <n v="2676"/>
    <n v="7"/>
    <n v="11"/>
    <n v="2023"/>
    <s v="Tuesday"/>
    <x v="0"/>
    <n v="5"/>
    <n v="64697.09"/>
    <s v="Reena Goyal"/>
    <n v="31"/>
    <x v="8"/>
    <s v="Debit Card"/>
    <n v="2"/>
    <s v="Mi 11"/>
  </r>
  <r>
    <n v="2677"/>
    <n v="7"/>
    <n v="11"/>
    <n v="2023"/>
    <s v="Tuesday"/>
    <x v="1"/>
    <n v="4"/>
    <n v="40129.72"/>
    <s v="Manoj Dutta"/>
    <n v="56"/>
    <x v="18"/>
    <s v="Cash"/>
    <n v="5"/>
    <s v="Vivo S1"/>
  </r>
  <r>
    <n v="2678"/>
    <n v="8"/>
    <n v="11"/>
    <n v="2023"/>
    <s v="Wednesday"/>
    <x v="2"/>
    <n v="6"/>
    <n v="67950.33"/>
    <s v="Rajesh Desai"/>
    <n v="58"/>
    <x v="1"/>
    <s v="UPI"/>
    <n v="5"/>
    <s v="OnePlus 8T"/>
  </r>
  <r>
    <n v="2679"/>
    <n v="8"/>
    <n v="11"/>
    <n v="2023"/>
    <s v="Wednesday"/>
    <x v="2"/>
    <n v="4"/>
    <n v="66498.09"/>
    <s v="Namita Malhotra"/>
    <n v="45"/>
    <x v="7"/>
    <s v="Debit Card"/>
    <n v="5"/>
    <s v="OnePlus 9"/>
  </r>
  <r>
    <n v="2680"/>
    <n v="8"/>
    <n v="11"/>
    <n v="2023"/>
    <s v="Wednesday"/>
    <x v="2"/>
    <n v="2"/>
    <n v="61903.75"/>
    <s v="Lata Joshi"/>
    <n v="48"/>
    <x v="18"/>
    <s v="Debit Card"/>
    <n v="2"/>
    <s v="OnePlus 9"/>
  </r>
  <r>
    <n v="2681"/>
    <n v="8"/>
    <n v="11"/>
    <n v="2023"/>
    <s v="Wednesday"/>
    <x v="4"/>
    <n v="9"/>
    <n v="39998.639999999999"/>
    <s v="Anita Menon"/>
    <n v="34"/>
    <x v="14"/>
    <s v="UPI"/>
    <n v="5"/>
    <s v="iPhone 11"/>
  </r>
  <r>
    <n v="2682"/>
    <n v="9"/>
    <n v="11"/>
    <n v="2023"/>
    <s v="Thursday"/>
    <x v="2"/>
    <n v="2"/>
    <n v="18454.240000000002"/>
    <s v="Neeta Mishra"/>
    <n v="52"/>
    <x v="2"/>
    <s v="Credit Card"/>
    <n v="2"/>
    <s v="OnePlus Nord"/>
  </r>
  <r>
    <n v="2683"/>
    <n v="9"/>
    <n v="11"/>
    <n v="2023"/>
    <s v="Thursday"/>
    <x v="3"/>
    <n v="9"/>
    <n v="23074.27"/>
    <s v="Bina Nair"/>
    <n v="57"/>
    <x v="14"/>
    <s v="Debit Card"/>
    <n v="2"/>
    <s v="Galaxy Note 20"/>
  </r>
  <r>
    <n v="2684"/>
    <n v="9"/>
    <n v="11"/>
    <n v="2023"/>
    <s v="Thursday"/>
    <x v="2"/>
    <n v="6"/>
    <n v="48860.2"/>
    <s v="Bhavana Desai"/>
    <n v="39"/>
    <x v="10"/>
    <s v="Cash"/>
    <n v="5"/>
    <s v="OnePlus Nord"/>
  </r>
  <r>
    <n v="2685"/>
    <n v="9"/>
    <n v="11"/>
    <n v="2023"/>
    <s v="Thursday"/>
    <x v="4"/>
    <n v="9"/>
    <n v="35305.300000000003"/>
    <s v="Krishna Ahuja"/>
    <n v="46"/>
    <x v="1"/>
    <s v="UPI"/>
    <n v="3"/>
    <s v="iPhone SE"/>
  </r>
  <r>
    <n v="2686"/>
    <n v="10"/>
    <n v="11"/>
    <n v="2023"/>
    <s v="Friday"/>
    <x v="2"/>
    <n v="9"/>
    <n v="18808.099999999999"/>
    <s v="Vinod Nambiar"/>
    <n v="27"/>
    <x v="5"/>
    <s v="Debit Card"/>
    <n v="4"/>
    <s v="OnePlus Nord"/>
  </r>
  <r>
    <n v="2687"/>
    <n v="10"/>
    <n v="11"/>
    <n v="2023"/>
    <s v="Friday"/>
    <x v="1"/>
    <n v="3"/>
    <n v="38739.64"/>
    <s v="Anjali Varma"/>
    <n v="35"/>
    <x v="8"/>
    <s v="Cash"/>
    <n v="4"/>
    <s v="Vivo Y51"/>
  </r>
  <r>
    <n v="2688"/>
    <n v="10"/>
    <n v="11"/>
    <n v="2023"/>
    <s v="Friday"/>
    <x v="1"/>
    <n v="1"/>
    <n v="11045.83"/>
    <s v="Shruti Joshi"/>
    <n v="52"/>
    <x v="1"/>
    <s v="Cash"/>
    <n v="4"/>
    <s v="Vivo V20"/>
  </r>
  <r>
    <n v="2689"/>
    <n v="11"/>
    <n v="11"/>
    <n v="2023"/>
    <s v="Saturday"/>
    <x v="4"/>
    <n v="1"/>
    <n v="54033.72"/>
    <s v="Prashant Arora"/>
    <n v="33"/>
    <x v="0"/>
    <s v="Cash"/>
    <n v="4"/>
    <s v="iPhone 11"/>
  </r>
  <r>
    <n v="2690"/>
    <n v="11"/>
    <n v="11"/>
    <n v="2023"/>
    <s v="Saturday"/>
    <x v="3"/>
    <n v="3"/>
    <n v="14414.88"/>
    <s v="Deepika Gupta"/>
    <n v="24"/>
    <x v="16"/>
    <s v="Cash"/>
    <n v="5"/>
    <s v="Galaxy A51"/>
  </r>
  <r>
    <n v="2691"/>
    <n v="11"/>
    <n v="11"/>
    <n v="2023"/>
    <s v="Saturday"/>
    <x v="3"/>
    <n v="5"/>
    <n v="47746.82"/>
    <s v="Shruti Joshi"/>
    <n v="47"/>
    <x v="4"/>
    <s v="UPI"/>
    <n v="2"/>
    <s v="Galaxy Note 20"/>
  </r>
  <r>
    <n v="2692"/>
    <n v="11"/>
    <n v="11"/>
    <n v="2023"/>
    <s v="Saturday"/>
    <x v="0"/>
    <n v="3"/>
    <n v="57580.62"/>
    <s v="Vinod Nambiar"/>
    <n v="36"/>
    <x v="8"/>
    <s v="Cash"/>
    <n v="5"/>
    <s v="Redmi Note 10"/>
  </r>
  <r>
    <n v="2693"/>
    <n v="12"/>
    <n v="11"/>
    <n v="2023"/>
    <s v="Sunday"/>
    <x v="4"/>
    <n v="9"/>
    <n v="17958.63"/>
    <s v="Sneha Jain"/>
    <n v="40"/>
    <x v="16"/>
    <s v="UPI"/>
    <n v="4"/>
    <s v="iPhone 11"/>
  </r>
  <r>
    <n v="2694"/>
    <n v="12"/>
    <n v="11"/>
    <n v="2023"/>
    <s v="Sunday"/>
    <x v="2"/>
    <n v="9"/>
    <n v="41118.32"/>
    <s v="Lata Joshi"/>
    <n v="25"/>
    <x v="1"/>
    <s v="Cash"/>
    <n v="4"/>
    <s v="OnePlus 9"/>
  </r>
  <r>
    <n v="2695"/>
    <n v="12"/>
    <n v="11"/>
    <n v="2023"/>
    <s v="Sunday"/>
    <x v="4"/>
    <n v="3"/>
    <n v="56744.05"/>
    <s v="Reena Chatterjee"/>
    <n v="34"/>
    <x v="1"/>
    <s v="Cash"/>
    <n v="5"/>
    <s v="iPhone 12"/>
  </r>
  <r>
    <n v="2696"/>
    <n v="13"/>
    <n v="11"/>
    <n v="2023"/>
    <s v="Monday"/>
    <x v="0"/>
    <n v="3"/>
    <n v="25638.01"/>
    <s v="Lalita Siddiqui"/>
    <n v="38"/>
    <x v="1"/>
    <s v="UPI"/>
    <n v="4"/>
    <s v="Redmi 9"/>
  </r>
  <r>
    <n v="2697"/>
    <n v="13"/>
    <n v="11"/>
    <n v="2023"/>
    <s v="Monday"/>
    <x v="4"/>
    <n v="5"/>
    <n v="19775"/>
    <s v="Meena Thakur"/>
    <n v="43"/>
    <x v="2"/>
    <s v="Credit Card"/>
    <n v="2"/>
    <s v="iPhone 12"/>
  </r>
  <r>
    <n v="2698"/>
    <n v="13"/>
    <n v="11"/>
    <n v="2023"/>
    <s v="Monday"/>
    <x v="4"/>
    <n v="2"/>
    <n v="30209.15"/>
    <s v="Pankaj Deshmukh"/>
    <n v="45"/>
    <x v="12"/>
    <s v="Debit Card"/>
    <n v="4"/>
    <s v="iPhone 11"/>
  </r>
  <r>
    <n v="2699"/>
    <n v="14"/>
    <n v="11"/>
    <n v="2023"/>
    <s v="Tuesday"/>
    <x v="0"/>
    <n v="6"/>
    <n v="43281.95"/>
    <s v="Krishna Reddy"/>
    <n v="56"/>
    <x v="15"/>
    <s v="Debit Card"/>
    <n v="4"/>
    <s v="Mi 11"/>
  </r>
  <r>
    <n v="2700"/>
    <n v="14"/>
    <n v="11"/>
    <n v="2023"/>
    <s v="Tuesday"/>
    <x v="3"/>
    <n v="7"/>
    <n v="44516.78"/>
    <s v="Kavita Desai"/>
    <n v="50"/>
    <x v="1"/>
    <s v="UPI"/>
    <n v="5"/>
    <s v="Galaxy A51"/>
  </r>
  <r>
    <n v="2701"/>
    <n v="14"/>
    <n v="11"/>
    <n v="2023"/>
    <s v="Tuesday"/>
    <x v="2"/>
    <n v="9"/>
    <n v="17852.580000000002"/>
    <s v="Bhavana Mathur"/>
    <n v="57"/>
    <x v="1"/>
    <s v="Cash"/>
    <n v="2"/>
    <s v="OnePlus 8T"/>
  </r>
  <r>
    <n v="2702"/>
    <n v="15"/>
    <n v="11"/>
    <n v="2023"/>
    <s v="Wednesday"/>
    <x v="0"/>
    <n v="6"/>
    <n v="37454.129999999997"/>
    <s v="Anand Joshi"/>
    <n v="36"/>
    <x v="2"/>
    <s v="UPI"/>
    <n v="3"/>
    <s v="Redmi 9"/>
  </r>
  <r>
    <n v="2703"/>
    <n v="15"/>
    <n v="11"/>
    <n v="2023"/>
    <s v="Wednesday"/>
    <x v="1"/>
    <n v="3"/>
    <n v="26096.93"/>
    <s v="Gita Mehta"/>
    <n v="46"/>
    <x v="16"/>
    <s v="Cash"/>
    <n v="5"/>
    <s v="Vivo Y51"/>
  </r>
  <r>
    <n v="2704"/>
    <n v="15"/>
    <n v="11"/>
    <n v="2023"/>
    <s v="Wednesday"/>
    <x v="3"/>
    <n v="5"/>
    <n v="60521.45"/>
    <s v="Krishna Sharma"/>
    <n v="37"/>
    <x v="3"/>
    <s v="UPI"/>
    <n v="3"/>
    <s v="Galaxy Note 20"/>
  </r>
  <r>
    <n v="2705"/>
    <n v="15"/>
    <n v="11"/>
    <n v="2023"/>
    <s v="Wednesday"/>
    <x v="1"/>
    <n v="4"/>
    <n v="28814.51"/>
    <s v="Priya Kaur"/>
    <n v="37"/>
    <x v="7"/>
    <s v="Debit Card"/>
    <n v="5"/>
    <s v="Vivo V20"/>
  </r>
  <r>
    <n v="2706"/>
    <n v="16"/>
    <n v="11"/>
    <n v="2023"/>
    <s v="Thursday"/>
    <x v="3"/>
    <n v="5"/>
    <n v="60322.27"/>
    <s v="Shruti Deshmukh"/>
    <n v="27"/>
    <x v="1"/>
    <s v="UPI"/>
    <n v="4"/>
    <s v="Galaxy S21"/>
  </r>
  <r>
    <n v="2707"/>
    <n v="16"/>
    <n v="11"/>
    <n v="2023"/>
    <s v="Thursday"/>
    <x v="2"/>
    <n v="8"/>
    <n v="35713.879999999997"/>
    <s v="Deepika Das"/>
    <n v="29"/>
    <x v="10"/>
    <s v="Debit Card"/>
    <n v="5"/>
    <s v="OnePlus 9"/>
  </r>
  <r>
    <n v="2708"/>
    <n v="16"/>
    <n v="11"/>
    <n v="2023"/>
    <s v="Thursday"/>
    <x v="2"/>
    <n v="8"/>
    <n v="53595.15"/>
    <s v="Navin Kaur"/>
    <n v="50"/>
    <x v="12"/>
    <s v="Debit Card"/>
    <n v="2"/>
    <s v="OnePlus 8T"/>
  </r>
  <r>
    <n v="2709"/>
    <n v="16"/>
    <n v="11"/>
    <n v="2023"/>
    <s v="Thursday"/>
    <x v="4"/>
    <n v="6"/>
    <n v="40603.61"/>
    <s v="Pooja Rao"/>
    <n v="42"/>
    <x v="18"/>
    <s v="Debit Card"/>
    <n v="5"/>
    <s v="iPhone SE"/>
  </r>
  <r>
    <n v="2710"/>
    <n v="17"/>
    <n v="11"/>
    <n v="2023"/>
    <s v="Friday"/>
    <x v="1"/>
    <n v="1"/>
    <n v="47317.760000000002"/>
    <s v="Lata Mathur"/>
    <n v="42"/>
    <x v="2"/>
    <s v="UPI"/>
    <n v="5"/>
    <s v="Vivo S1"/>
  </r>
  <r>
    <n v="2711"/>
    <n v="17"/>
    <n v="11"/>
    <n v="2023"/>
    <s v="Friday"/>
    <x v="3"/>
    <n v="8"/>
    <n v="33721.39"/>
    <s v="Deepika Gupta"/>
    <n v="21"/>
    <x v="5"/>
    <s v="Credit Card"/>
    <n v="4"/>
    <s v="Galaxy A51"/>
  </r>
  <r>
    <n v="2712"/>
    <n v="17"/>
    <n v="11"/>
    <n v="2023"/>
    <s v="Friday"/>
    <x v="2"/>
    <n v="8"/>
    <n v="56092.41"/>
    <s v="Priya Roy"/>
    <n v="21"/>
    <x v="1"/>
    <s v="UPI"/>
    <n v="5"/>
    <s v="OnePlus 9"/>
  </r>
  <r>
    <n v="2713"/>
    <n v="18"/>
    <n v="11"/>
    <n v="2023"/>
    <s v="Saturday"/>
    <x v="0"/>
    <n v="2"/>
    <n v="35511.360000000001"/>
    <s v="Ayesha Arora"/>
    <n v="26"/>
    <x v="1"/>
    <s v="UPI"/>
    <n v="2"/>
    <s v="Mi 11"/>
  </r>
  <r>
    <n v="2714"/>
    <n v="18"/>
    <n v="11"/>
    <n v="2023"/>
    <s v="Saturday"/>
    <x v="2"/>
    <n v="4"/>
    <n v="37447.699999999997"/>
    <s v="Bina Mathur"/>
    <n v="32"/>
    <x v="3"/>
    <s v="Credit Card"/>
    <n v="3"/>
    <s v="OnePlus 9"/>
  </r>
  <r>
    <n v="2715"/>
    <n v="18"/>
    <n v="11"/>
    <n v="2023"/>
    <s v="Saturday"/>
    <x v="0"/>
    <n v="2"/>
    <n v="41060.720000000001"/>
    <s v="Anita Bhattacharya"/>
    <n v="43"/>
    <x v="9"/>
    <s v="Credit Card"/>
    <n v="4"/>
    <s v="Mi 11"/>
  </r>
  <r>
    <n v="2716"/>
    <n v="19"/>
    <n v="11"/>
    <n v="2023"/>
    <s v="Sunday"/>
    <x v="3"/>
    <n v="4"/>
    <n v="59909.45"/>
    <s v="Amit Teja"/>
    <n v="32"/>
    <x v="2"/>
    <s v="Debit Card"/>
    <n v="4"/>
    <s v="Galaxy Note 20"/>
  </r>
  <r>
    <n v="2717"/>
    <n v="19"/>
    <n v="11"/>
    <n v="2023"/>
    <s v="Sunday"/>
    <x v="2"/>
    <n v="7"/>
    <n v="49562.74"/>
    <s v="Sumit Verma"/>
    <n v="43"/>
    <x v="14"/>
    <s v="Cash"/>
    <n v="5"/>
    <s v="OnePlus 8T"/>
  </r>
  <r>
    <n v="2718"/>
    <n v="19"/>
    <n v="11"/>
    <n v="2023"/>
    <s v="Sunday"/>
    <x v="2"/>
    <n v="9"/>
    <n v="30949.62"/>
    <s v="Priyanka Menon"/>
    <n v="45"/>
    <x v="8"/>
    <s v="Cash"/>
    <n v="5"/>
    <s v="OnePlus 9"/>
  </r>
  <r>
    <n v="2719"/>
    <n v="20"/>
    <n v="11"/>
    <n v="2023"/>
    <s v="Monday"/>
    <x v="3"/>
    <n v="8"/>
    <n v="50219.18"/>
    <s v="Kiran Mishra"/>
    <n v="24"/>
    <x v="11"/>
    <s v="Debit Card"/>
    <n v="5"/>
    <s v="Galaxy Note 20"/>
  </r>
  <r>
    <n v="2720"/>
    <n v="20"/>
    <n v="11"/>
    <n v="2023"/>
    <s v="Monday"/>
    <x v="2"/>
    <n v="9"/>
    <n v="48545.59"/>
    <s v="Priyanka Mishra"/>
    <n v="49"/>
    <x v="3"/>
    <s v="UPI"/>
    <n v="4"/>
    <s v="OnePlus 9"/>
  </r>
  <r>
    <n v="2721"/>
    <n v="20"/>
    <n v="11"/>
    <n v="2023"/>
    <s v="Monday"/>
    <x v="0"/>
    <n v="8"/>
    <n v="65861.16"/>
    <s v="Namita Deshmukh"/>
    <n v="29"/>
    <x v="2"/>
    <s v="Cash"/>
    <n v="5"/>
    <s v="Redmi Note 10"/>
  </r>
  <r>
    <n v="2722"/>
    <n v="21"/>
    <n v="11"/>
    <n v="2023"/>
    <s v="Tuesday"/>
    <x v="2"/>
    <n v="2"/>
    <n v="60484.99"/>
    <s v="Priya Prasad"/>
    <n v="52"/>
    <x v="1"/>
    <s v="UPI"/>
    <n v="5"/>
    <s v="OnePlus 8T"/>
  </r>
  <r>
    <n v="2723"/>
    <n v="21"/>
    <n v="11"/>
    <n v="2023"/>
    <s v="Tuesday"/>
    <x v="1"/>
    <n v="7"/>
    <n v="48846.82"/>
    <s v="Anita Shah"/>
    <n v="49"/>
    <x v="11"/>
    <s v="Credit Card"/>
    <n v="5"/>
    <s v="Vivo Y51"/>
  </r>
  <r>
    <n v="2724"/>
    <n v="21"/>
    <n v="11"/>
    <n v="2023"/>
    <s v="Tuesday"/>
    <x v="4"/>
    <n v="2"/>
    <n v="30490.43"/>
    <s v="Sunil Patel"/>
    <n v="26"/>
    <x v="13"/>
    <s v="Credit Card"/>
    <n v="5"/>
    <s v="iPhone 11"/>
  </r>
  <r>
    <n v="2725"/>
    <n v="21"/>
    <n v="11"/>
    <n v="2023"/>
    <s v="Tuesday"/>
    <x v="0"/>
    <n v="2"/>
    <n v="56774.59"/>
    <s v="Jyoti Reddy"/>
    <n v="31"/>
    <x v="8"/>
    <s v="Debit Card"/>
    <n v="4"/>
    <s v="Redmi Note 10"/>
  </r>
  <r>
    <n v="2726"/>
    <n v="22"/>
    <n v="11"/>
    <n v="2023"/>
    <s v="Wednesday"/>
    <x v="1"/>
    <n v="4"/>
    <n v="44512.5"/>
    <s v="Vinod Kaur"/>
    <n v="30"/>
    <x v="1"/>
    <s v="UPI"/>
    <n v="5"/>
    <s v="Vivo Y51"/>
  </r>
  <r>
    <n v="2727"/>
    <n v="22"/>
    <n v="11"/>
    <n v="2023"/>
    <s v="Wednesday"/>
    <x v="3"/>
    <n v="1"/>
    <n v="69116.2"/>
    <s v="Sachin Jain"/>
    <n v="50"/>
    <x v="0"/>
    <s v="Debit Card"/>
    <n v="2"/>
    <s v="Galaxy Note 20"/>
  </r>
  <r>
    <n v="2728"/>
    <n v="22"/>
    <n v="11"/>
    <n v="2023"/>
    <s v="Wednesday"/>
    <x v="0"/>
    <n v="5"/>
    <n v="24850.37"/>
    <s v="Kiran Nair"/>
    <n v="49"/>
    <x v="2"/>
    <s v="Cash"/>
    <n v="5"/>
    <s v="Redmi 9"/>
  </r>
  <r>
    <n v="2729"/>
    <n v="22"/>
    <n v="11"/>
    <n v="2023"/>
    <s v="Wednesday"/>
    <x v="4"/>
    <n v="6"/>
    <n v="14779.35"/>
    <s v="Vijay Chatterjee"/>
    <n v="36"/>
    <x v="11"/>
    <s v="Cash"/>
    <n v="4"/>
    <s v="iPhone SE"/>
  </r>
  <r>
    <n v="2730"/>
    <n v="23"/>
    <n v="11"/>
    <n v="2023"/>
    <s v="Thursday"/>
    <x v="4"/>
    <n v="9"/>
    <n v="14193.51"/>
    <s v="Vinod Srivastava"/>
    <n v="47"/>
    <x v="1"/>
    <s v="Cash"/>
    <n v="5"/>
    <s v="iPhone SE"/>
  </r>
  <r>
    <n v="2731"/>
    <n v="23"/>
    <n v="11"/>
    <n v="2023"/>
    <s v="Thursday"/>
    <x v="3"/>
    <n v="8"/>
    <n v="48401.82"/>
    <s v="Anita Dutta"/>
    <n v="33"/>
    <x v="15"/>
    <s v="UPI"/>
    <n v="4"/>
    <s v="Galaxy Note 20"/>
  </r>
  <r>
    <n v="2732"/>
    <n v="23"/>
    <n v="11"/>
    <n v="2023"/>
    <s v="Thursday"/>
    <x v="3"/>
    <n v="2"/>
    <n v="66355.61"/>
    <s v="Navin Gupta"/>
    <n v="29"/>
    <x v="9"/>
    <s v="Debit Card"/>
    <n v="5"/>
    <s v="Galaxy S21"/>
  </r>
  <r>
    <n v="2733"/>
    <n v="24"/>
    <n v="11"/>
    <n v="2023"/>
    <s v="Friday"/>
    <x v="0"/>
    <n v="1"/>
    <n v="10115.91"/>
    <s v="Vivek Bhatnagar"/>
    <n v="27"/>
    <x v="1"/>
    <s v="Debit Card"/>
    <n v="4"/>
    <s v="Redmi 9"/>
  </r>
  <r>
    <n v="2734"/>
    <n v="24"/>
    <n v="11"/>
    <n v="2023"/>
    <s v="Friday"/>
    <x v="2"/>
    <n v="2"/>
    <n v="53546.26"/>
    <s v="Sanjay Roy"/>
    <n v="19"/>
    <x v="16"/>
    <s v="Cash"/>
    <n v="2"/>
    <s v="OnePlus 9"/>
  </r>
  <r>
    <n v="2735"/>
    <n v="24"/>
    <n v="11"/>
    <n v="2023"/>
    <s v="Friday"/>
    <x v="3"/>
    <n v="7"/>
    <n v="49423.91"/>
    <s v="Aditya Mishra"/>
    <n v="35"/>
    <x v="8"/>
    <s v="Debit Card"/>
    <n v="4"/>
    <s v="Galaxy A51"/>
  </r>
  <r>
    <n v="2736"/>
    <n v="25"/>
    <n v="11"/>
    <n v="2023"/>
    <s v="Saturday"/>
    <x v="2"/>
    <n v="4"/>
    <n v="53938.25"/>
    <s v="Deepika Pathak"/>
    <n v="30"/>
    <x v="15"/>
    <s v="Credit Card"/>
    <n v="3"/>
    <s v="OnePlus Nord"/>
  </r>
  <r>
    <n v="2737"/>
    <n v="25"/>
    <n v="11"/>
    <n v="2023"/>
    <s v="Saturday"/>
    <x v="1"/>
    <n v="5"/>
    <n v="31324.32"/>
    <s v="Umesh Nair"/>
    <n v="46"/>
    <x v="1"/>
    <s v="Credit Card"/>
    <n v="4"/>
    <s v="Vivo V20"/>
  </r>
  <r>
    <n v="2738"/>
    <n v="25"/>
    <n v="11"/>
    <n v="2023"/>
    <s v="Saturday"/>
    <x v="4"/>
    <n v="7"/>
    <n v="59229.79"/>
    <s v="Mala Roy"/>
    <n v="41"/>
    <x v="1"/>
    <s v="Credit Card"/>
    <n v="5"/>
    <s v="iPhone SE"/>
  </r>
  <r>
    <n v="2739"/>
    <n v="25"/>
    <n v="11"/>
    <n v="2023"/>
    <s v="Saturday"/>
    <x v="2"/>
    <n v="3"/>
    <n v="12682.42"/>
    <s v="Rohan Deshmukh"/>
    <n v="55"/>
    <x v="8"/>
    <s v="Credit Card"/>
    <n v="3"/>
    <s v="OnePlus 9"/>
  </r>
  <r>
    <n v="2740"/>
    <n v="26"/>
    <n v="11"/>
    <n v="2023"/>
    <s v="Sunday"/>
    <x v="4"/>
    <n v="2"/>
    <n v="55325.87"/>
    <s v="Pankaj Singh"/>
    <n v="29"/>
    <x v="1"/>
    <s v="Debit Card"/>
    <n v="5"/>
    <s v="iPhone 11"/>
  </r>
  <r>
    <n v="2741"/>
    <n v="26"/>
    <n v="11"/>
    <n v="2023"/>
    <s v="Sunday"/>
    <x v="2"/>
    <n v="7"/>
    <n v="26024.32"/>
    <s v="Prashant Chatterjee"/>
    <n v="46"/>
    <x v="1"/>
    <s v="Credit Card"/>
    <n v="5"/>
    <s v="OnePlus 8T"/>
  </r>
  <r>
    <n v="2742"/>
    <n v="26"/>
    <n v="11"/>
    <n v="2023"/>
    <s v="Sunday"/>
    <x v="1"/>
    <n v="5"/>
    <n v="38610.269999999997"/>
    <s v="Rohan Nambiar"/>
    <n v="39"/>
    <x v="1"/>
    <s v="Credit Card"/>
    <n v="2"/>
    <s v="Vivo V20"/>
  </r>
  <r>
    <n v="2743"/>
    <n v="26"/>
    <n v="11"/>
    <n v="2023"/>
    <s v="Sunday"/>
    <x v="3"/>
    <n v="1"/>
    <n v="59358.18"/>
    <s v="Sanjay Joshi"/>
    <n v="53"/>
    <x v="15"/>
    <s v="Credit Card"/>
    <n v="4"/>
    <s v="Galaxy S21"/>
  </r>
  <r>
    <n v="2744"/>
    <n v="27"/>
    <n v="11"/>
    <n v="2023"/>
    <s v="Monday"/>
    <x v="1"/>
    <n v="1"/>
    <n v="26281.54"/>
    <s v="Radha Kulkarni"/>
    <n v="18"/>
    <x v="9"/>
    <s v="Credit Card"/>
    <n v="4"/>
    <s v="Vivo Y51"/>
  </r>
  <r>
    <n v="2745"/>
    <n v="27"/>
    <n v="11"/>
    <n v="2023"/>
    <s v="Monday"/>
    <x v="3"/>
    <n v="9"/>
    <n v="21112.45"/>
    <s v="Devendra Jain"/>
    <n v="57"/>
    <x v="0"/>
    <s v="Credit Card"/>
    <n v="5"/>
    <s v="Galaxy S21"/>
  </r>
  <r>
    <n v="2746"/>
    <n v="27"/>
    <n v="11"/>
    <n v="2023"/>
    <s v="Monday"/>
    <x v="3"/>
    <n v="5"/>
    <n v="50878.79"/>
    <s v="Rajesh Verma"/>
    <n v="51"/>
    <x v="11"/>
    <s v="UPI"/>
    <n v="4"/>
    <s v="Galaxy Note 20"/>
  </r>
  <r>
    <n v="2747"/>
    <n v="28"/>
    <n v="11"/>
    <n v="2023"/>
    <s v="Tuesday"/>
    <x v="4"/>
    <n v="1"/>
    <n v="42003.69"/>
    <s v="Manoj Sharma"/>
    <n v="51"/>
    <x v="1"/>
    <s v="UPI"/>
    <n v="4"/>
    <s v="iPhone 11"/>
  </r>
  <r>
    <n v="2748"/>
    <n v="28"/>
    <n v="11"/>
    <n v="2023"/>
    <s v="Tuesday"/>
    <x v="1"/>
    <n v="7"/>
    <n v="40864.230000000003"/>
    <s v="Rajesh Shah"/>
    <n v="50"/>
    <x v="5"/>
    <s v="Credit Card"/>
    <n v="5"/>
    <s v="Vivo V20"/>
  </r>
  <r>
    <n v="2749"/>
    <n v="28"/>
    <n v="11"/>
    <n v="2023"/>
    <s v="Tuesday"/>
    <x v="2"/>
    <n v="9"/>
    <n v="25406.17"/>
    <s v="Aditya Singh"/>
    <n v="21"/>
    <x v="2"/>
    <s v="Credit Card"/>
    <n v="4"/>
    <s v="OnePlus Nord"/>
  </r>
  <r>
    <n v="2750"/>
    <n v="29"/>
    <n v="11"/>
    <n v="2023"/>
    <s v="Wednesday"/>
    <x v="1"/>
    <n v="1"/>
    <n v="12092.82"/>
    <s v="Tanuja Roy"/>
    <n v="55"/>
    <x v="2"/>
    <s v="Debit Card"/>
    <n v="4"/>
    <s v="Vivo V20"/>
  </r>
  <r>
    <n v="2751"/>
    <n v="29"/>
    <n v="11"/>
    <n v="2023"/>
    <s v="Wednesday"/>
    <x v="4"/>
    <n v="4"/>
    <n v="34616.15"/>
    <s v="Prashant Mishra"/>
    <n v="47"/>
    <x v="9"/>
    <s v="Credit Card"/>
    <n v="5"/>
    <s v="iPhone 11"/>
  </r>
  <r>
    <n v="2752"/>
    <n v="29"/>
    <n v="11"/>
    <n v="2023"/>
    <s v="Wednesday"/>
    <x v="3"/>
    <n v="3"/>
    <n v="16393.57"/>
    <s v="Nikhil Ahuja"/>
    <n v="37"/>
    <x v="4"/>
    <s v="Cash"/>
    <n v="4"/>
    <s v="Galaxy A51"/>
  </r>
  <r>
    <n v="2753"/>
    <n v="30"/>
    <n v="11"/>
    <n v="2023"/>
    <s v="Thursday"/>
    <x v="4"/>
    <n v="5"/>
    <n v="64359.35"/>
    <s v="Sneha Rao"/>
    <n v="43"/>
    <x v="2"/>
    <s v="UPI"/>
    <n v="5"/>
    <s v="iPhone SE"/>
  </r>
  <r>
    <n v="2754"/>
    <n v="30"/>
    <n v="11"/>
    <n v="2023"/>
    <s v="Thursday"/>
    <x v="0"/>
    <n v="7"/>
    <n v="12475.02"/>
    <s v="Bina Kumar"/>
    <n v="32"/>
    <x v="17"/>
    <s v="Credit Card"/>
    <n v="2"/>
    <s v="Mi 11"/>
  </r>
  <r>
    <n v="2755"/>
    <n v="30"/>
    <n v="11"/>
    <n v="2023"/>
    <s v="Thursday"/>
    <x v="0"/>
    <n v="8"/>
    <n v="35899.050000000003"/>
    <s v="Vinod Sharma"/>
    <n v="24"/>
    <x v="9"/>
    <s v="UPI"/>
    <n v="4"/>
    <s v="Redmi 9"/>
  </r>
  <r>
    <n v="2756"/>
    <n v="30"/>
    <n v="11"/>
    <n v="2023"/>
    <s v="Thursday"/>
    <x v="2"/>
    <n v="2"/>
    <n v="13134.74"/>
    <s v="Priyanka Mishra"/>
    <n v="24"/>
    <x v="4"/>
    <s v="Credit Card"/>
    <n v="5"/>
    <s v="OnePlus Nord"/>
  </r>
  <r>
    <n v="2757"/>
    <n v="1"/>
    <n v="12"/>
    <n v="2023"/>
    <s v="Friday"/>
    <x v="4"/>
    <n v="7"/>
    <n v="15732.63"/>
    <s v="Neeta Nair"/>
    <n v="46"/>
    <x v="7"/>
    <s v="Cash"/>
    <n v="3"/>
    <s v="iPhone 12"/>
  </r>
  <r>
    <n v="2758"/>
    <n v="1"/>
    <n v="12"/>
    <n v="2023"/>
    <s v="Friday"/>
    <x v="2"/>
    <n v="1"/>
    <n v="49532"/>
    <s v="Neeta Prasad"/>
    <n v="40"/>
    <x v="1"/>
    <s v="Credit Card"/>
    <n v="2"/>
    <s v="OnePlus 8T"/>
  </r>
  <r>
    <n v="2759"/>
    <n v="1"/>
    <n v="12"/>
    <n v="2023"/>
    <s v="Friday"/>
    <x v="2"/>
    <n v="7"/>
    <n v="48826.68"/>
    <s v="Sneha Jain"/>
    <n v="51"/>
    <x v="16"/>
    <s v="UPI"/>
    <n v="4"/>
    <s v="OnePlus Nord"/>
  </r>
  <r>
    <n v="2760"/>
    <n v="1"/>
    <n v="12"/>
    <n v="2023"/>
    <s v="Friday"/>
    <x v="0"/>
    <n v="8"/>
    <n v="11983.13"/>
    <s v="Prashant Gupta"/>
    <n v="37"/>
    <x v="13"/>
    <s v="UPI"/>
    <n v="5"/>
    <s v="Mi 11"/>
  </r>
  <r>
    <n v="2761"/>
    <n v="2"/>
    <n v="12"/>
    <n v="2023"/>
    <s v="Saturday"/>
    <x v="2"/>
    <n v="2"/>
    <n v="10067.89"/>
    <s v="Anjali Das"/>
    <n v="32"/>
    <x v="1"/>
    <s v="UPI"/>
    <n v="3"/>
    <s v="OnePlus 9"/>
  </r>
  <r>
    <n v="2762"/>
    <n v="2"/>
    <n v="12"/>
    <n v="2023"/>
    <s v="Saturday"/>
    <x v="0"/>
    <n v="9"/>
    <n v="14729.08"/>
    <s v="Anjali Desai"/>
    <n v="50"/>
    <x v="0"/>
    <s v="Debit Card"/>
    <n v="5"/>
    <s v="Redmi Note 10"/>
  </r>
  <r>
    <n v="2763"/>
    <n v="2"/>
    <n v="12"/>
    <n v="2023"/>
    <s v="Saturday"/>
    <x v="3"/>
    <n v="1"/>
    <n v="55779.93"/>
    <s v="Priyanka Nambiar"/>
    <n v="34"/>
    <x v="2"/>
    <s v="UPI"/>
    <n v="4"/>
    <s v="Galaxy S21"/>
  </r>
  <r>
    <n v="2764"/>
    <n v="2"/>
    <n v="12"/>
    <n v="2023"/>
    <s v="Saturday"/>
    <x v="4"/>
    <n v="6"/>
    <n v="45074.59"/>
    <s v="Anjali Kulkarni"/>
    <n v="37"/>
    <x v="1"/>
    <s v="Credit Card"/>
    <n v="5"/>
    <s v="iPhone SE"/>
  </r>
  <r>
    <n v="2765"/>
    <n v="3"/>
    <n v="12"/>
    <n v="2023"/>
    <s v="Sunday"/>
    <x v="2"/>
    <n v="1"/>
    <n v="12287.09"/>
    <s v="Ravi Kaur"/>
    <n v="30"/>
    <x v="0"/>
    <s v="Cash"/>
    <n v="2"/>
    <s v="OnePlus 9"/>
  </r>
  <r>
    <n v="2766"/>
    <n v="3"/>
    <n v="12"/>
    <n v="2023"/>
    <s v="Sunday"/>
    <x v="0"/>
    <n v="3"/>
    <n v="39285.82"/>
    <s v="Ravi Thakur"/>
    <n v="41"/>
    <x v="0"/>
    <s v="Cash"/>
    <n v="3"/>
    <s v="Mi 11"/>
  </r>
  <r>
    <n v="2767"/>
    <n v="3"/>
    <n v="12"/>
    <n v="2023"/>
    <s v="Sunday"/>
    <x v="1"/>
    <n v="6"/>
    <n v="52721.760000000002"/>
    <s v="Kavita Teja"/>
    <n v="54"/>
    <x v="2"/>
    <s v="Credit Card"/>
    <n v="3"/>
    <s v="Vivo V20"/>
  </r>
  <r>
    <n v="2768"/>
    <n v="4"/>
    <n v="12"/>
    <n v="2023"/>
    <s v="Monday"/>
    <x v="2"/>
    <n v="3"/>
    <n v="62137.08"/>
    <s v="Jyoti Bhattacharya"/>
    <n v="24"/>
    <x v="6"/>
    <s v="Debit Card"/>
    <n v="5"/>
    <s v="OnePlus Nord"/>
  </r>
  <r>
    <n v="2769"/>
    <n v="4"/>
    <n v="12"/>
    <n v="2023"/>
    <s v="Monday"/>
    <x v="3"/>
    <n v="8"/>
    <n v="66042.19"/>
    <s v="Vinod Nair"/>
    <n v="25"/>
    <x v="11"/>
    <s v="Credit Card"/>
    <n v="5"/>
    <s v="Galaxy S21"/>
  </r>
  <r>
    <n v="2770"/>
    <n v="4"/>
    <n v="12"/>
    <n v="2023"/>
    <s v="Monday"/>
    <x v="3"/>
    <n v="5"/>
    <n v="29646.43"/>
    <s v="Rajesh Singh"/>
    <n v="40"/>
    <x v="1"/>
    <s v="UPI"/>
    <n v="2"/>
    <s v="Galaxy A51"/>
  </r>
  <r>
    <n v="2771"/>
    <n v="5"/>
    <n v="12"/>
    <n v="2023"/>
    <s v="Tuesday"/>
    <x v="1"/>
    <n v="2"/>
    <n v="18149.95"/>
    <s v="Lata Verma"/>
    <n v="31"/>
    <x v="16"/>
    <s v="Debit Card"/>
    <n v="5"/>
    <s v="Vivo Y51"/>
  </r>
  <r>
    <n v="2772"/>
    <n v="5"/>
    <n v="12"/>
    <n v="2023"/>
    <s v="Tuesday"/>
    <x v="0"/>
    <n v="4"/>
    <n v="24215.56"/>
    <s v="Priya Teja"/>
    <n v="21"/>
    <x v="1"/>
    <s v="Credit Card"/>
    <n v="4"/>
    <s v="Redmi Note 10"/>
  </r>
  <r>
    <n v="2773"/>
    <n v="5"/>
    <n v="12"/>
    <n v="2023"/>
    <s v="Tuesday"/>
    <x v="2"/>
    <n v="9"/>
    <n v="56570.29"/>
    <s v="Pooja Srivastava"/>
    <n v="38"/>
    <x v="2"/>
    <s v="Debit Card"/>
    <n v="5"/>
    <s v="OnePlus 9"/>
  </r>
  <r>
    <n v="2774"/>
    <n v="5"/>
    <n v="12"/>
    <n v="2023"/>
    <s v="Tuesday"/>
    <x v="0"/>
    <n v="4"/>
    <n v="68289.05"/>
    <s v="Kiran Alva"/>
    <n v="27"/>
    <x v="4"/>
    <s v="Cash"/>
    <n v="3"/>
    <s v="Mi 11"/>
  </r>
  <r>
    <n v="2775"/>
    <n v="6"/>
    <n v="12"/>
    <n v="2023"/>
    <s v="Wednesday"/>
    <x v="3"/>
    <n v="8"/>
    <n v="37983.620000000003"/>
    <s v="Kunal Malhotra"/>
    <n v="39"/>
    <x v="1"/>
    <s v="Credit Card"/>
    <n v="4"/>
    <s v="Galaxy Note 20"/>
  </r>
  <r>
    <n v="2776"/>
    <n v="6"/>
    <n v="12"/>
    <n v="2023"/>
    <s v="Wednesday"/>
    <x v="0"/>
    <n v="5"/>
    <n v="28321.19"/>
    <s v="Rajesh Desai"/>
    <n v="47"/>
    <x v="1"/>
    <s v="Credit Card"/>
    <n v="2"/>
    <s v="Redmi 9"/>
  </r>
  <r>
    <n v="2777"/>
    <n v="6"/>
    <n v="12"/>
    <n v="2023"/>
    <s v="Wednesday"/>
    <x v="3"/>
    <n v="1"/>
    <n v="35751.43"/>
    <s v="Yogesh Menon"/>
    <n v="47"/>
    <x v="1"/>
    <s v="Cash"/>
    <n v="5"/>
    <s v="Galaxy S21"/>
  </r>
  <r>
    <n v="2778"/>
    <n v="6"/>
    <n v="12"/>
    <n v="2023"/>
    <s v="Wednesday"/>
    <x v="0"/>
    <n v="7"/>
    <n v="28288.79"/>
    <s v="Vijay Rawat"/>
    <n v="33"/>
    <x v="8"/>
    <s v="Debit Card"/>
    <n v="5"/>
    <s v="Redmi Note 10"/>
  </r>
  <r>
    <n v="2779"/>
    <n v="7"/>
    <n v="12"/>
    <n v="2023"/>
    <s v="Thursday"/>
    <x v="1"/>
    <n v="3"/>
    <n v="25389.25"/>
    <s v="Sumit Verma"/>
    <n v="28"/>
    <x v="7"/>
    <s v="Cash"/>
    <n v="4"/>
    <s v="Vivo V20"/>
  </r>
  <r>
    <n v="2780"/>
    <n v="7"/>
    <n v="12"/>
    <n v="2023"/>
    <s v="Thursday"/>
    <x v="4"/>
    <n v="8"/>
    <n v="45625.05"/>
    <s v="Ayesha Patel"/>
    <n v="39"/>
    <x v="1"/>
    <s v="Debit Card"/>
    <n v="2"/>
    <s v="iPhone 12"/>
  </r>
  <r>
    <n v="2781"/>
    <n v="7"/>
    <n v="12"/>
    <n v="2023"/>
    <s v="Thursday"/>
    <x v="1"/>
    <n v="3"/>
    <n v="10944.16"/>
    <s v="Namita Desai"/>
    <n v="46"/>
    <x v="4"/>
    <s v="Credit Card"/>
    <n v="2"/>
    <s v="Vivo Y51"/>
  </r>
  <r>
    <n v="2782"/>
    <n v="8"/>
    <n v="12"/>
    <n v="2023"/>
    <s v="Friday"/>
    <x v="1"/>
    <n v="1"/>
    <n v="25573.13"/>
    <s v="Bina Kumar"/>
    <n v="42"/>
    <x v="5"/>
    <s v="Debit Card"/>
    <n v="5"/>
    <s v="Vivo V20"/>
  </r>
  <r>
    <n v="2783"/>
    <n v="8"/>
    <n v="12"/>
    <n v="2023"/>
    <s v="Friday"/>
    <x v="4"/>
    <n v="5"/>
    <n v="49682.92"/>
    <s v="Vijay Mishra"/>
    <n v="31"/>
    <x v="17"/>
    <s v="Debit Card"/>
    <n v="5"/>
    <s v="iPhone 12"/>
  </r>
  <r>
    <n v="2784"/>
    <n v="8"/>
    <n v="12"/>
    <n v="2023"/>
    <s v="Friday"/>
    <x v="4"/>
    <n v="2"/>
    <n v="11923.76"/>
    <s v="Sumit Arora"/>
    <n v="31"/>
    <x v="18"/>
    <s v="UPI"/>
    <n v="5"/>
    <s v="iPhone 12"/>
  </r>
  <r>
    <n v="2785"/>
    <n v="8"/>
    <n v="12"/>
    <n v="2023"/>
    <s v="Friday"/>
    <x v="2"/>
    <n v="4"/>
    <n v="14992.11"/>
    <s v="Meena Thakur"/>
    <n v="19"/>
    <x v="1"/>
    <s v="UPI"/>
    <n v="4"/>
    <s v="OnePlus Nord"/>
  </r>
  <r>
    <n v="2786"/>
    <n v="9"/>
    <n v="12"/>
    <n v="2023"/>
    <s v="Saturday"/>
    <x v="2"/>
    <n v="1"/>
    <n v="27603.77"/>
    <s v="Umesh Kumar"/>
    <n v="30"/>
    <x v="18"/>
    <s v="UPI"/>
    <n v="2"/>
    <s v="OnePlus Nord"/>
  </r>
  <r>
    <n v="2787"/>
    <n v="9"/>
    <n v="12"/>
    <n v="2023"/>
    <s v="Saturday"/>
    <x v="1"/>
    <n v="9"/>
    <n v="62668.29"/>
    <s v="Monika Kumar"/>
    <n v="20"/>
    <x v="17"/>
    <s v="Cash"/>
    <n v="3"/>
    <s v="Vivo S1"/>
  </r>
  <r>
    <n v="2788"/>
    <n v="9"/>
    <n v="12"/>
    <n v="2023"/>
    <s v="Saturday"/>
    <x v="1"/>
    <n v="6"/>
    <n v="55893.17"/>
    <s v="Vivek Yadav"/>
    <n v="47"/>
    <x v="1"/>
    <s v="Cash"/>
    <n v="4"/>
    <s v="Vivo Y51"/>
  </r>
  <r>
    <n v="2789"/>
    <n v="9"/>
    <n v="12"/>
    <n v="2023"/>
    <s v="Saturday"/>
    <x v="3"/>
    <n v="8"/>
    <n v="11329.4"/>
    <s v="Kavita Srivastava"/>
    <n v="35"/>
    <x v="18"/>
    <s v="UPI"/>
    <n v="5"/>
    <s v="Galaxy Note 20"/>
  </r>
  <r>
    <n v="2790"/>
    <n v="10"/>
    <n v="12"/>
    <n v="2023"/>
    <s v="Sunday"/>
    <x v="3"/>
    <n v="4"/>
    <n v="40102.769999999997"/>
    <s v="Anand Pillai"/>
    <n v="53"/>
    <x v="2"/>
    <s v="Credit Card"/>
    <n v="4"/>
    <s v="Galaxy Note 20"/>
  </r>
  <r>
    <n v="2791"/>
    <n v="10"/>
    <n v="12"/>
    <n v="2023"/>
    <s v="Sunday"/>
    <x v="2"/>
    <n v="9"/>
    <n v="26481.25"/>
    <s v="Anita Arora"/>
    <n v="38"/>
    <x v="7"/>
    <s v="Credit Card"/>
    <n v="5"/>
    <s v="OnePlus 9"/>
  </r>
  <r>
    <n v="2792"/>
    <n v="10"/>
    <n v="12"/>
    <n v="2023"/>
    <s v="Sunday"/>
    <x v="2"/>
    <n v="2"/>
    <n v="48918.74"/>
    <s v="Aditya Prasad"/>
    <n v="36"/>
    <x v="0"/>
    <s v="Credit Card"/>
    <n v="4"/>
    <s v="OnePlus 9"/>
  </r>
  <r>
    <n v="2793"/>
    <n v="11"/>
    <n v="12"/>
    <n v="2023"/>
    <s v="Monday"/>
    <x v="3"/>
    <n v="9"/>
    <n v="53293.23"/>
    <s v="Yogesh Menon"/>
    <n v="33"/>
    <x v="2"/>
    <s v="Cash"/>
    <n v="4"/>
    <s v="Galaxy Note 20"/>
  </r>
  <r>
    <n v="2794"/>
    <n v="11"/>
    <n v="12"/>
    <n v="2023"/>
    <s v="Monday"/>
    <x v="3"/>
    <n v="5"/>
    <n v="61771.75"/>
    <s v="Sunita Mathur"/>
    <n v="45"/>
    <x v="18"/>
    <s v="Debit Card"/>
    <n v="4"/>
    <s v="Galaxy A51"/>
  </r>
  <r>
    <n v="2795"/>
    <n v="11"/>
    <n v="12"/>
    <n v="2023"/>
    <s v="Monday"/>
    <x v="0"/>
    <n v="6"/>
    <n v="38524.97"/>
    <s v="Vinod Srivastava"/>
    <n v="21"/>
    <x v="1"/>
    <s v="Cash"/>
    <n v="3"/>
    <s v="Redmi Note 10"/>
  </r>
  <r>
    <n v="2796"/>
    <n v="11"/>
    <n v="12"/>
    <n v="2023"/>
    <s v="Monday"/>
    <x v="0"/>
    <n v="3"/>
    <n v="69667.009999999995"/>
    <s v="Bhavana Malhotra"/>
    <n v="32"/>
    <x v="7"/>
    <s v="UPI"/>
    <n v="5"/>
    <s v="Redmi 9"/>
  </r>
  <r>
    <n v="2797"/>
    <n v="12"/>
    <n v="12"/>
    <n v="2023"/>
    <s v="Tuesday"/>
    <x v="3"/>
    <n v="4"/>
    <n v="68799.17"/>
    <s v="Lalita Patel"/>
    <n v="18"/>
    <x v="1"/>
    <s v="Debit Card"/>
    <n v="4"/>
    <s v="Galaxy S21"/>
  </r>
  <r>
    <n v="2798"/>
    <n v="12"/>
    <n v="12"/>
    <n v="2023"/>
    <s v="Tuesday"/>
    <x v="0"/>
    <n v="6"/>
    <n v="62930"/>
    <s v="Anita Prasad"/>
    <n v="33"/>
    <x v="1"/>
    <s v="Credit Card"/>
    <n v="4"/>
    <s v="Redmi Note 10"/>
  </r>
  <r>
    <n v="2799"/>
    <n v="12"/>
    <n v="12"/>
    <n v="2023"/>
    <s v="Tuesday"/>
    <x v="4"/>
    <n v="7"/>
    <n v="44492.17"/>
    <s v="Ayesha Ahuja"/>
    <n v="37"/>
    <x v="13"/>
    <s v="Cash"/>
    <n v="3"/>
    <s v="iPhone SE"/>
  </r>
  <r>
    <n v="2800"/>
    <n v="13"/>
    <n v="12"/>
    <n v="2023"/>
    <s v="Wednesday"/>
    <x v="2"/>
    <n v="1"/>
    <n v="33880.39"/>
    <s v="Vijay Rawat"/>
    <n v="50"/>
    <x v="18"/>
    <s v="Cash"/>
    <n v="2"/>
    <s v="OnePlus 8T"/>
  </r>
  <r>
    <n v="2801"/>
    <n v="13"/>
    <n v="12"/>
    <n v="2023"/>
    <s v="Wednesday"/>
    <x v="2"/>
    <n v="7"/>
    <n v="31863.18"/>
    <s v="Anita Sharma"/>
    <n v="34"/>
    <x v="1"/>
    <s v="UPI"/>
    <n v="4"/>
    <s v="OnePlus Nord"/>
  </r>
  <r>
    <n v="2802"/>
    <n v="13"/>
    <n v="12"/>
    <n v="2023"/>
    <s v="Wednesday"/>
    <x v="3"/>
    <n v="1"/>
    <n v="10727.49"/>
    <s v="Sumit Malhotra"/>
    <n v="22"/>
    <x v="15"/>
    <s v="Credit Card"/>
    <n v="4"/>
    <s v="Galaxy Note 20"/>
  </r>
  <r>
    <n v="2803"/>
    <n v="14"/>
    <n v="12"/>
    <n v="2023"/>
    <s v="Thursday"/>
    <x v="1"/>
    <n v="5"/>
    <n v="24950.47"/>
    <s v="Lata Mehta"/>
    <n v="22"/>
    <x v="3"/>
    <s v="Cash"/>
    <n v="2"/>
    <s v="Vivo Y51"/>
  </r>
  <r>
    <n v="2804"/>
    <n v="14"/>
    <n v="12"/>
    <n v="2023"/>
    <s v="Thursday"/>
    <x v="3"/>
    <n v="6"/>
    <n v="53128.49"/>
    <s v="Reena Kulkarni"/>
    <n v="56"/>
    <x v="1"/>
    <s v="Cash"/>
    <n v="4"/>
    <s v="Galaxy S21"/>
  </r>
  <r>
    <n v="2805"/>
    <n v="14"/>
    <n v="12"/>
    <n v="2023"/>
    <s v="Thursday"/>
    <x v="0"/>
    <n v="2"/>
    <n v="46217.93"/>
    <s v="Amit Goyal"/>
    <n v="30"/>
    <x v="18"/>
    <s v="Debit Card"/>
    <n v="4"/>
    <s v="Redmi Note 10"/>
  </r>
  <r>
    <n v="2806"/>
    <n v="15"/>
    <n v="12"/>
    <n v="2023"/>
    <s v="Friday"/>
    <x v="1"/>
    <n v="9"/>
    <n v="64985.33"/>
    <s v="Kavita Rawat"/>
    <n v="53"/>
    <x v="1"/>
    <s v="Cash"/>
    <n v="4"/>
    <s v="Vivo V20"/>
  </r>
  <r>
    <n v="2807"/>
    <n v="15"/>
    <n v="12"/>
    <n v="2023"/>
    <s v="Friday"/>
    <x v="0"/>
    <n v="6"/>
    <n v="13001.34"/>
    <s v="Bina Rawat"/>
    <n v="47"/>
    <x v="2"/>
    <s v="Debit Card"/>
    <n v="5"/>
    <s v="Mi 11"/>
  </r>
  <r>
    <n v="2808"/>
    <n v="15"/>
    <n v="12"/>
    <n v="2023"/>
    <s v="Friday"/>
    <x v="4"/>
    <n v="7"/>
    <n v="19316.599999999999"/>
    <s v="Sunita Iyer"/>
    <n v="21"/>
    <x v="1"/>
    <s v="Cash"/>
    <n v="2"/>
    <s v="iPhone 11"/>
  </r>
  <r>
    <n v="2809"/>
    <n v="16"/>
    <n v="12"/>
    <n v="2023"/>
    <s v="Saturday"/>
    <x v="0"/>
    <n v="8"/>
    <n v="57354.63"/>
    <s v="Sumit Teja"/>
    <n v="40"/>
    <x v="5"/>
    <s v="Credit Card"/>
    <n v="5"/>
    <s v="Redmi 9"/>
  </r>
  <r>
    <n v="2810"/>
    <n v="16"/>
    <n v="12"/>
    <n v="2023"/>
    <s v="Saturday"/>
    <x v="4"/>
    <n v="1"/>
    <n v="31510.46"/>
    <s v="Monika Solanki"/>
    <n v="38"/>
    <x v="15"/>
    <s v="UPI"/>
    <n v="2"/>
    <s v="iPhone 12"/>
  </r>
  <r>
    <n v="2811"/>
    <n v="16"/>
    <n v="12"/>
    <n v="2023"/>
    <s v="Saturday"/>
    <x v="4"/>
    <n v="8"/>
    <n v="17100.72"/>
    <s v="Jyoti Pillai"/>
    <n v="38"/>
    <x v="2"/>
    <s v="Credit Card"/>
    <n v="5"/>
    <s v="iPhone 12"/>
  </r>
  <r>
    <n v="2812"/>
    <n v="17"/>
    <n v="12"/>
    <n v="2023"/>
    <s v="Sunday"/>
    <x v="0"/>
    <n v="4"/>
    <n v="69787.03"/>
    <s v="Vinod Nair"/>
    <n v="23"/>
    <x v="2"/>
    <s v="UPI"/>
    <n v="5"/>
    <s v="Mi 11"/>
  </r>
  <r>
    <n v="2813"/>
    <n v="17"/>
    <n v="12"/>
    <n v="2023"/>
    <s v="Sunday"/>
    <x v="0"/>
    <n v="8"/>
    <n v="57235.02"/>
    <s v="Sanjay Ghosh"/>
    <n v="41"/>
    <x v="6"/>
    <s v="Cash"/>
    <n v="3"/>
    <s v="Redmi Note 10"/>
  </r>
  <r>
    <n v="2814"/>
    <n v="17"/>
    <n v="12"/>
    <n v="2023"/>
    <s v="Sunday"/>
    <x v="4"/>
    <n v="6"/>
    <n v="34524.46"/>
    <s v="Vijay Mishra"/>
    <n v="48"/>
    <x v="7"/>
    <s v="Credit Card"/>
    <n v="2"/>
    <s v="iPhone 11"/>
  </r>
  <r>
    <n v="2815"/>
    <n v="18"/>
    <n v="12"/>
    <n v="2023"/>
    <s v="Monday"/>
    <x v="1"/>
    <n v="9"/>
    <n v="59400.85"/>
    <s v="Krishna Sharma"/>
    <n v="36"/>
    <x v="1"/>
    <s v="Debit Card"/>
    <n v="2"/>
    <s v="Vivo S1"/>
  </r>
  <r>
    <n v="2816"/>
    <n v="18"/>
    <n v="12"/>
    <n v="2023"/>
    <s v="Monday"/>
    <x v="4"/>
    <n v="4"/>
    <n v="50836.23"/>
    <s v="Lata Reddy"/>
    <n v="55"/>
    <x v="2"/>
    <s v="UPI"/>
    <n v="2"/>
    <s v="iPhone SE"/>
  </r>
  <r>
    <n v="2817"/>
    <n v="18"/>
    <n v="12"/>
    <n v="2023"/>
    <s v="Monday"/>
    <x v="2"/>
    <n v="2"/>
    <n v="57398.49"/>
    <s v="Prashant Luthra"/>
    <n v="29"/>
    <x v="15"/>
    <s v="UPI"/>
    <n v="5"/>
    <s v="OnePlus 9"/>
  </r>
  <r>
    <n v="2818"/>
    <n v="19"/>
    <n v="12"/>
    <n v="2023"/>
    <s v="Tuesday"/>
    <x v="4"/>
    <n v="2"/>
    <n v="58912.38"/>
    <s v="Rajesh Mathur"/>
    <n v="31"/>
    <x v="1"/>
    <s v="Cash"/>
    <n v="2"/>
    <s v="iPhone SE"/>
  </r>
  <r>
    <n v="2819"/>
    <n v="19"/>
    <n v="12"/>
    <n v="2023"/>
    <s v="Tuesday"/>
    <x v="1"/>
    <n v="5"/>
    <n v="15083.72"/>
    <s v="Vinod Arora"/>
    <n v="29"/>
    <x v="5"/>
    <s v="UPI"/>
    <n v="3"/>
    <s v="Vivo V20"/>
  </r>
  <r>
    <n v="2820"/>
    <n v="19"/>
    <n v="12"/>
    <n v="2023"/>
    <s v="Tuesday"/>
    <x v="2"/>
    <n v="9"/>
    <n v="47378.37"/>
    <s v="Umesh Kaur"/>
    <n v="32"/>
    <x v="2"/>
    <s v="UPI"/>
    <n v="4"/>
    <s v="OnePlus 9"/>
  </r>
  <r>
    <n v="2821"/>
    <n v="19"/>
    <n v="12"/>
    <n v="2023"/>
    <s v="Tuesday"/>
    <x v="3"/>
    <n v="3"/>
    <n v="10407.129999999999"/>
    <s v="Radha Sharma"/>
    <n v="36"/>
    <x v="5"/>
    <s v="UPI"/>
    <n v="5"/>
    <s v="Galaxy Note 20"/>
  </r>
  <r>
    <n v="2822"/>
    <n v="20"/>
    <n v="12"/>
    <n v="2023"/>
    <s v="Wednesday"/>
    <x v="3"/>
    <n v="8"/>
    <n v="12607.37"/>
    <s v="Harish Patel"/>
    <n v="45"/>
    <x v="11"/>
    <s v="Cash"/>
    <n v="4"/>
    <s v="Galaxy Note 20"/>
  </r>
  <r>
    <n v="2823"/>
    <n v="20"/>
    <n v="12"/>
    <n v="2023"/>
    <s v="Wednesday"/>
    <x v="1"/>
    <n v="4"/>
    <n v="64238.8"/>
    <s v="Manoj Patel"/>
    <n v="57"/>
    <x v="13"/>
    <s v="Credit Card"/>
    <n v="4"/>
    <s v="Vivo V20"/>
  </r>
  <r>
    <n v="2824"/>
    <n v="20"/>
    <n v="12"/>
    <n v="2023"/>
    <s v="Wednesday"/>
    <x v="4"/>
    <n v="6"/>
    <n v="41653.82"/>
    <s v="Harish Mehta"/>
    <n v="58"/>
    <x v="1"/>
    <s v="Cash"/>
    <n v="5"/>
    <s v="iPhone SE"/>
  </r>
  <r>
    <n v="2825"/>
    <n v="21"/>
    <n v="12"/>
    <n v="2023"/>
    <s v="Thursday"/>
    <x v="0"/>
    <n v="6"/>
    <n v="54154.12"/>
    <s v="Bhavana Varma"/>
    <n v="22"/>
    <x v="9"/>
    <s v="Debit Card"/>
    <n v="5"/>
    <s v="Redmi 9"/>
  </r>
  <r>
    <n v="2826"/>
    <n v="21"/>
    <n v="12"/>
    <n v="2023"/>
    <s v="Thursday"/>
    <x v="1"/>
    <n v="3"/>
    <n v="60310.06"/>
    <s v="Ravi Teja"/>
    <n v="22"/>
    <x v="15"/>
    <s v="UPI"/>
    <n v="2"/>
    <s v="Vivo V20"/>
  </r>
  <r>
    <n v="2827"/>
    <n v="21"/>
    <n v="12"/>
    <n v="2023"/>
    <s v="Thursday"/>
    <x v="2"/>
    <n v="5"/>
    <n v="66975.210000000006"/>
    <s v="Anjali Desai"/>
    <n v="23"/>
    <x v="7"/>
    <s v="UPI"/>
    <n v="3"/>
    <s v="OnePlus 9"/>
  </r>
  <r>
    <n v="2828"/>
    <n v="22"/>
    <n v="12"/>
    <n v="2023"/>
    <s v="Friday"/>
    <x v="2"/>
    <n v="3"/>
    <n v="62161.17"/>
    <s v="Harish Mishra"/>
    <n v="40"/>
    <x v="8"/>
    <s v="Credit Card"/>
    <n v="5"/>
    <s v="OnePlus Nord"/>
  </r>
  <r>
    <n v="2829"/>
    <n v="22"/>
    <n v="12"/>
    <n v="2023"/>
    <s v="Friday"/>
    <x v="3"/>
    <n v="1"/>
    <n v="38998.69"/>
    <s v="Meena Kumar"/>
    <n v="20"/>
    <x v="10"/>
    <s v="UPI"/>
    <n v="4"/>
    <s v="Galaxy A51"/>
  </r>
  <r>
    <n v="2830"/>
    <n v="22"/>
    <n v="12"/>
    <n v="2023"/>
    <s v="Friday"/>
    <x v="2"/>
    <n v="7"/>
    <n v="30158.22"/>
    <s v="Anita Mathur"/>
    <n v="54"/>
    <x v="9"/>
    <s v="Credit Card"/>
    <n v="5"/>
    <s v="OnePlus 8T"/>
  </r>
  <r>
    <n v="2831"/>
    <n v="22"/>
    <n v="12"/>
    <n v="2023"/>
    <s v="Friday"/>
    <x v="1"/>
    <n v="4"/>
    <n v="19269.59"/>
    <s v="Harish Kaur"/>
    <n v="50"/>
    <x v="1"/>
    <s v="UPI"/>
    <n v="3"/>
    <s v="Vivo Y51"/>
  </r>
  <r>
    <n v="2832"/>
    <n v="23"/>
    <n v="12"/>
    <n v="2023"/>
    <s v="Saturday"/>
    <x v="2"/>
    <n v="7"/>
    <n v="34019.29"/>
    <s v="Krishna Sharma"/>
    <n v="38"/>
    <x v="16"/>
    <s v="UPI"/>
    <n v="2"/>
    <s v="OnePlus Nord"/>
  </r>
  <r>
    <n v="2833"/>
    <n v="23"/>
    <n v="12"/>
    <n v="2023"/>
    <s v="Saturday"/>
    <x v="1"/>
    <n v="3"/>
    <n v="31989.61"/>
    <s v="Anand Reddy"/>
    <n v="37"/>
    <x v="14"/>
    <s v="Cash"/>
    <n v="4"/>
    <s v="Vivo Y51"/>
  </r>
  <r>
    <n v="2834"/>
    <n v="23"/>
    <n v="12"/>
    <n v="2023"/>
    <s v="Saturday"/>
    <x v="0"/>
    <n v="5"/>
    <n v="43574.49"/>
    <s v="Mala Chatterjee"/>
    <n v="18"/>
    <x v="7"/>
    <s v="Cash"/>
    <n v="2"/>
    <s v="Mi 11"/>
  </r>
  <r>
    <n v="2835"/>
    <n v="23"/>
    <n v="12"/>
    <n v="2023"/>
    <s v="Saturday"/>
    <x v="3"/>
    <n v="5"/>
    <n v="49930.559999999998"/>
    <s v="Priya Varma"/>
    <n v="56"/>
    <x v="1"/>
    <s v="Debit Card"/>
    <n v="2"/>
    <s v="Galaxy S21"/>
  </r>
  <r>
    <n v="2836"/>
    <n v="24"/>
    <n v="12"/>
    <n v="2023"/>
    <s v="Sunday"/>
    <x v="2"/>
    <n v="2"/>
    <n v="68699.53"/>
    <s v="Ramesh Dutta"/>
    <n v="34"/>
    <x v="3"/>
    <s v="Credit Card"/>
    <n v="3"/>
    <s v="OnePlus 8T"/>
  </r>
  <r>
    <n v="2837"/>
    <n v="24"/>
    <n v="12"/>
    <n v="2023"/>
    <s v="Sunday"/>
    <x v="1"/>
    <n v="2"/>
    <n v="53703.17"/>
    <s v="Jyoti Bhattacharya"/>
    <n v="46"/>
    <x v="16"/>
    <s v="Debit Card"/>
    <n v="5"/>
    <s v="Vivo Y51"/>
  </r>
  <r>
    <n v="2838"/>
    <n v="24"/>
    <n v="12"/>
    <n v="2023"/>
    <s v="Sunday"/>
    <x v="4"/>
    <n v="4"/>
    <n v="48624.91"/>
    <s v="Reena Menon"/>
    <n v="25"/>
    <x v="6"/>
    <s v="Cash"/>
    <n v="2"/>
    <s v="iPhone 12"/>
  </r>
  <r>
    <n v="2839"/>
    <n v="24"/>
    <n v="12"/>
    <n v="2023"/>
    <s v="Sunday"/>
    <x v="3"/>
    <n v="4"/>
    <n v="30105.55"/>
    <s v="Amit Teja"/>
    <n v="43"/>
    <x v="10"/>
    <s v="Credit Card"/>
    <n v="2"/>
    <s v="Galaxy A51"/>
  </r>
  <r>
    <n v="2840"/>
    <n v="25"/>
    <n v="12"/>
    <n v="2023"/>
    <s v="Monday"/>
    <x v="0"/>
    <n v="4"/>
    <n v="12070.23"/>
    <s v="Kiran Joshi"/>
    <n v="45"/>
    <x v="1"/>
    <s v="Cash"/>
    <n v="5"/>
    <s v="Mi 11"/>
  </r>
  <r>
    <n v="2841"/>
    <n v="25"/>
    <n v="12"/>
    <n v="2023"/>
    <s v="Monday"/>
    <x v="1"/>
    <n v="6"/>
    <n v="27287.51"/>
    <s v="Ayesha Sheth"/>
    <n v="51"/>
    <x v="2"/>
    <s v="Credit Card"/>
    <n v="4"/>
    <s v="Vivo Y51"/>
  </r>
  <r>
    <n v="2842"/>
    <n v="25"/>
    <n v="12"/>
    <n v="2023"/>
    <s v="Monday"/>
    <x v="0"/>
    <n v="2"/>
    <n v="56106.87"/>
    <s v="Neeta Desai"/>
    <n v="43"/>
    <x v="14"/>
    <s v="UPI"/>
    <n v="5"/>
    <s v="Redmi 9"/>
  </r>
  <r>
    <n v="2843"/>
    <n v="26"/>
    <n v="12"/>
    <n v="2023"/>
    <s v="Tuesday"/>
    <x v="0"/>
    <n v="6"/>
    <n v="22316.32"/>
    <s v="Vijay Prasad"/>
    <n v="30"/>
    <x v="9"/>
    <s v="Debit Card"/>
    <n v="3"/>
    <s v="Mi 11"/>
  </r>
  <r>
    <n v="2844"/>
    <n v="26"/>
    <n v="12"/>
    <n v="2023"/>
    <s v="Tuesday"/>
    <x v="2"/>
    <n v="7"/>
    <n v="52731.29"/>
    <s v="Priyanka Yadav"/>
    <n v="54"/>
    <x v="3"/>
    <s v="Debit Card"/>
    <n v="3"/>
    <s v="OnePlus Nord"/>
  </r>
  <r>
    <n v="2845"/>
    <n v="26"/>
    <n v="12"/>
    <n v="2023"/>
    <s v="Tuesday"/>
    <x v="2"/>
    <n v="3"/>
    <n v="44786.79"/>
    <s v="Radha Solanki"/>
    <n v="30"/>
    <x v="11"/>
    <s v="Credit Card"/>
    <n v="4"/>
    <s v="OnePlus 9"/>
  </r>
  <r>
    <n v="2846"/>
    <n v="26"/>
    <n v="12"/>
    <n v="2023"/>
    <s v="Tuesday"/>
    <x v="1"/>
    <n v="8"/>
    <n v="20311.41"/>
    <s v="Priya Prasad"/>
    <n v="55"/>
    <x v="0"/>
    <s v="Debit Card"/>
    <n v="4"/>
    <s v="Vivo S1"/>
  </r>
  <r>
    <n v="2847"/>
    <n v="27"/>
    <n v="12"/>
    <n v="2023"/>
    <s v="Wednesday"/>
    <x v="4"/>
    <n v="2"/>
    <n v="25697.49"/>
    <s v="Radha Nair"/>
    <n v="42"/>
    <x v="9"/>
    <s v="Cash"/>
    <n v="4"/>
    <s v="iPhone SE"/>
  </r>
  <r>
    <n v="2848"/>
    <n v="27"/>
    <n v="12"/>
    <n v="2023"/>
    <s v="Wednesday"/>
    <x v="1"/>
    <n v="8"/>
    <n v="39778.22"/>
    <s v="Navin Solanki"/>
    <n v="40"/>
    <x v="15"/>
    <s v="Debit Card"/>
    <n v="3"/>
    <s v="Vivo S1"/>
  </r>
  <r>
    <n v="2849"/>
    <n v="27"/>
    <n v="12"/>
    <n v="2023"/>
    <s v="Wednesday"/>
    <x v="4"/>
    <n v="5"/>
    <n v="35102.480000000003"/>
    <s v="Ravi Sharma"/>
    <n v="39"/>
    <x v="2"/>
    <s v="Credit Card"/>
    <n v="5"/>
    <s v="iPhone 12"/>
  </r>
  <r>
    <n v="2850"/>
    <n v="28"/>
    <n v="12"/>
    <n v="2023"/>
    <s v="Thursday"/>
    <x v="0"/>
    <n v="2"/>
    <n v="56713.83"/>
    <s v="Priyanka Sharma"/>
    <n v="38"/>
    <x v="16"/>
    <s v="Debit Card"/>
    <n v="2"/>
    <s v="Redmi 9"/>
  </r>
  <r>
    <n v="2851"/>
    <n v="28"/>
    <n v="12"/>
    <n v="2023"/>
    <s v="Thursday"/>
    <x v="3"/>
    <n v="7"/>
    <n v="54064.28"/>
    <s v="Sunil Kapoor"/>
    <n v="47"/>
    <x v="14"/>
    <s v="Debit Card"/>
    <n v="2"/>
    <s v="Galaxy A51"/>
  </r>
  <r>
    <n v="2852"/>
    <n v="28"/>
    <n v="12"/>
    <n v="2023"/>
    <s v="Thursday"/>
    <x v="1"/>
    <n v="2"/>
    <n v="44474.47"/>
    <s v="Namita Desai"/>
    <n v="28"/>
    <x v="1"/>
    <s v="Cash"/>
    <n v="2"/>
    <s v="Vivo V20"/>
  </r>
  <r>
    <n v="2853"/>
    <n v="29"/>
    <n v="12"/>
    <n v="2023"/>
    <s v="Friday"/>
    <x v="1"/>
    <n v="6"/>
    <n v="59336.480000000003"/>
    <s v="Namita Teja"/>
    <n v="21"/>
    <x v="8"/>
    <s v="UPI"/>
    <n v="3"/>
    <s v="Vivo Y51"/>
  </r>
  <r>
    <n v="2854"/>
    <n v="29"/>
    <n v="12"/>
    <n v="2023"/>
    <s v="Friday"/>
    <x v="4"/>
    <n v="3"/>
    <n v="43760.17"/>
    <s v="Yogesh Menon"/>
    <n v="50"/>
    <x v="12"/>
    <s v="Cash"/>
    <n v="4"/>
    <s v="iPhone 11"/>
  </r>
  <r>
    <n v="2855"/>
    <n v="29"/>
    <n v="12"/>
    <n v="2023"/>
    <s v="Friday"/>
    <x v="0"/>
    <n v="9"/>
    <n v="67863.360000000001"/>
    <s v="Gita Rao"/>
    <n v="29"/>
    <x v="0"/>
    <s v="Debit Card"/>
    <n v="5"/>
    <s v="Redmi 9"/>
  </r>
  <r>
    <n v="2856"/>
    <n v="30"/>
    <n v="12"/>
    <n v="2023"/>
    <s v="Saturday"/>
    <x v="0"/>
    <n v="3"/>
    <n v="23033.45"/>
    <s v="Sanjay Jain"/>
    <n v="26"/>
    <x v="4"/>
    <s v="Debit Card"/>
    <n v="3"/>
    <s v="Redmi Note 10"/>
  </r>
  <r>
    <n v="2857"/>
    <n v="30"/>
    <n v="12"/>
    <n v="2023"/>
    <s v="Saturday"/>
    <x v="4"/>
    <n v="3"/>
    <n v="52847.92"/>
    <s v="Monika Chatterjee"/>
    <n v="49"/>
    <x v="10"/>
    <s v="UPI"/>
    <n v="2"/>
    <s v="iPhone 12"/>
  </r>
  <r>
    <n v="2858"/>
    <n v="30"/>
    <n v="12"/>
    <n v="2023"/>
    <s v="Saturday"/>
    <x v="0"/>
    <n v="5"/>
    <n v="32196.65"/>
    <s v="Umesh Nair"/>
    <n v="28"/>
    <x v="2"/>
    <s v="UPI"/>
    <n v="2"/>
    <s v="Redmi 9"/>
  </r>
  <r>
    <n v="2859"/>
    <n v="31"/>
    <n v="12"/>
    <n v="2023"/>
    <s v="Sunday"/>
    <x v="2"/>
    <n v="7"/>
    <n v="26737.97"/>
    <s v="Kavita Desai"/>
    <n v="54"/>
    <x v="6"/>
    <s v="Cash"/>
    <n v="5"/>
    <s v="OnePlus Nord"/>
  </r>
  <r>
    <n v="2860"/>
    <n v="31"/>
    <n v="12"/>
    <n v="2023"/>
    <s v="Sunday"/>
    <x v="3"/>
    <n v="8"/>
    <n v="20823.25"/>
    <s v="Arun Jain"/>
    <n v="41"/>
    <x v="5"/>
    <s v="UPI"/>
    <n v="2"/>
    <s v="Galaxy Note 20"/>
  </r>
  <r>
    <n v="2861"/>
    <n v="31"/>
    <n v="12"/>
    <n v="2023"/>
    <s v="Sunday"/>
    <x v="1"/>
    <n v="7"/>
    <n v="43150.21"/>
    <s v="Radha Mathur"/>
    <n v="24"/>
    <x v="18"/>
    <s v="Cash"/>
    <n v="5"/>
    <s v="Vivo Y51"/>
  </r>
  <r>
    <n v="2862"/>
    <n v="31"/>
    <n v="12"/>
    <n v="2023"/>
    <s v="Sunday"/>
    <x v="3"/>
    <n v="9"/>
    <n v="22928.17"/>
    <s v="Kiran Prasad"/>
    <n v="25"/>
    <x v="2"/>
    <s v="Credit Card"/>
    <n v="4"/>
    <s v="Galaxy A51"/>
  </r>
  <r>
    <n v="2863"/>
    <n v="1"/>
    <n v="1"/>
    <n v="2024"/>
    <s v="Monday"/>
    <x v="1"/>
    <n v="5"/>
    <n v="22021.05"/>
    <s v="Prashant Gupta"/>
    <n v="50"/>
    <x v="6"/>
    <s v="Debit Card"/>
    <n v="5"/>
    <s v="Vivo V20"/>
  </r>
  <r>
    <n v="2864"/>
    <n v="1"/>
    <n v="1"/>
    <n v="2024"/>
    <s v="Monday"/>
    <x v="2"/>
    <n v="3"/>
    <n v="69431.91"/>
    <s v="Aditya Luthra"/>
    <n v="42"/>
    <x v="9"/>
    <s v="UPI"/>
    <n v="4"/>
    <s v="OnePlus Nord"/>
  </r>
  <r>
    <n v="2865"/>
    <n v="1"/>
    <n v="1"/>
    <n v="2024"/>
    <s v="Monday"/>
    <x v="0"/>
    <n v="6"/>
    <n v="58104.85"/>
    <s v="Vivek Mathur"/>
    <n v="18"/>
    <x v="2"/>
    <s v="Credit Card"/>
    <n v="3"/>
    <s v="Redmi Note 10"/>
  </r>
  <r>
    <n v="2866"/>
    <n v="1"/>
    <n v="1"/>
    <n v="2024"/>
    <s v="Monday"/>
    <x v="4"/>
    <n v="5"/>
    <n v="54896.61"/>
    <s v="Ramesh Mishra"/>
    <n v="20"/>
    <x v="1"/>
    <s v="Credit Card"/>
    <n v="2"/>
    <s v="iPhone 11"/>
  </r>
  <r>
    <n v="2867"/>
    <n v="2"/>
    <n v="1"/>
    <n v="2024"/>
    <s v="Tuesday"/>
    <x v="2"/>
    <n v="4"/>
    <n v="57643.64"/>
    <s v="Anand Arora"/>
    <n v="57"/>
    <x v="1"/>
    <s v="Cash"/>
    <n v="5"/>
    <s v="OnePlus Nord"/>
  </r>
  <r>
    <n v="2868"/>
    <n v="2"/>
    <n v="1"/>
    <n v="2024"/>
    <s v="Tuesday"/>
    <x v="3"/>
    <n v="2"/>
    <n v="68135.37"/>
    <s v="Manoj Mehta"/>
    <n v="45"/>
    <x v="5"/>
    <s v="Cash"/>
    <n v="5"/>
    <s v="Galaxy S21"/>
  </r>
  <r>
    <n v="2869"/>
    <n v="2"/>
    <n v="1"/>
    <n v="2024"/>
    <s v="Tuesday"/>
    <x v="4"/>
    <n v="7"/>
    <n v="44396.6"/>
    <s v="Krishna Iyer"/>
    <n v="50"/>
    <x v="17"/>
    <s v="UPI"/>
    <n v="2"/>
    <s v="iPhone 11"/>
  </r>
  <r>
    <n v="2870"/>
    <n v="3"/>
    <n v="1"/>
    <n v="2024"/>
    <s v="Wednesday"/>
    <x v="0"/>
    <n v="5"/>
    <n v="23214.63"/>
    <s v="Kiran Prasad"/>
    <n v="18"/>
    <x v="11"/>
    <s v="Cash"/>
    <n v="2"/>
    <s v="Redmi 9"/>
  </r>
  <r>
    <n v="2871"/>
    <n v="3"/>
    <n v="1"/>
    <n v="2024"/>
    <s v="Wednesday"/>
    <x v="2"/>
    <n v="4"/>
    <n v="61732.58"/>
    <s v="Bina Das"/>
    <n v="55"/>
    <x v="2"/>
    <s v="Credit Card"/>
    <n v="3"/>
    <s v="OnePlus Nord"/>
  </r>
  <r>
    <n v="2872"/>
    <n v="3"/>
    <n v="1"/>
    <n v="2024"/>
    <s v="Wednesday"/>
    <x v="4"/>
    <n v="8"/>
    <n v="54563.839999999997"/>
    <s v="Shruti Alva"/>
    <n v="44"/>
    <x v="5"/>
    <s v="Credit Card"/>
    <n v="4"/>
    <s v="iPhone 11"/>
  </r>
  <r>
    <n v="2873"/>
    <n v="4"/>
    <n v="1"/>
    <n v="2024"/>
    <s v="Thursday"/>
    <x v="2"/>
    <n v="9"/>
    <n v="34858.5"/>
    <s v="Kavita Rawat"/>
    <n v="55"/>
    <x v="14"/>
    <s v="Debit Card"/>
    <n v="3"/>
    <s v="OnePlus Nord"/>
  </r>
  <r>
    <n v="2874"/>
    <n v="4"/>
    <n v="1"/>
    <n v="2024"/>
    <s v="Thursday"/>
    <x v="2"/>
    <n v="9"/>
    <n v="38414.17"/>
    <s v="Vijay Singh"/>
    <n v="52"/>
    <x v="2"/>
    <s v="Credit Card"/>
    <n v="2"/>
    <s v="OnePlus 8T"/>
  </r>
  <r>
    <n v="2875"/>
    <n v="4"/>
    <n v="1"/>
    <n v="2024"/>
    <s v="Thursday"/>
    <x v="0"/>
    <n v="3"/>
    <n v="34675.14"/>
    <s v="Reena Sheth"/>
    <n v="27"/>
    <x v="8"/>
    <s v="UPI"/>
    <n v="3"/>
    <s v="Redmi Note 10"/>
  </r>
  <r>
    <n v="2876"/>
    <n v="5"/>
    <n v="1"/>
    <n v="2024"/>
    <s v="Friday"/>
    <x v="1"/>
    <n v="3"/>
    <n v="65796.53"/>
    <s v="Vinod Pathak"/>
    <n v="29"/>
    <x v="15"/>
    <s v="Debit Card"/>
    <n v="4"/>
    <s v="Vivo S1"/>
  </r>
  <r>
    <n v="2877"/>
    <n v="5"/>
    <n v="1"/>
    <n v="2024"/>
    <s v="Friday"/>
    <x v="4"/>
    <n v="5"/>
    <n v="30611.9"/>
    <s v="Ayesha Singh"/>
    <n v="27"/>
    <x v="2"/>
    <s v="Cash"/>
    <n v="2"/>
    <s v="iPhone 11"/>
  </r>
  <r>
    <n v="2878"/>
    <n v="5"/>
    <n v="1"/>
    <n v="2024"/>
    <s v="Friday"/>
    <x v="0"/>
    <n v="5"/>
    <n v="67809.06"/>
    <s v="Rohan Prasad"/>
    <n v="51"/>
    <x v="17"/>
    <s v="Debit Card"/>
    <n v="2"/>
    <s v="Mi 11"/>
  </r>
  <r>
    <n v="2879"/>
    <n v="5"/>
    <n v="1"/>
    <n v="2024"/>
    <s v="Friday"/>
    <x v="2"/>
    <n v="2"/>
    <n v="64616.31"/>
    <s v="Umesh Kaur"/>
    <n v="41"/>
    <x v="13"/>
    <s v="Credit Card"/>
    <n v="5"/>
    <s v="OnePlus 9"/>
  </r>
  <r>
    <n v="2880"/>
    <n v="6"/>
    <n v="1"/>
    <n v="2024"/>
    <s v="Saturday"/>
    <x v="0"/>
    <n v="1"/>
    <n v="47831.27"/>
    <s v="Sunil Malhotra"/>
    <n v="45"/>
    <x v="4"/>
    <s v="UPI"/>
    <n v="5"/>
    <s v="Redmi 9"/>
  </r>
  <r>
    <n v="2881"/>
    <n v="6"/>
    <n v="1"/>
    <n v="2024"/>
    <s v="Saturday"/>
    <x v="1"/>
    <n v="8"/>
    <n v="44789.31"/>
    <s v="Yogesh Kaur"/>
    <n v="39"/>
    <x v="3"/>
    <s v="Cash"/>
    <n v="2"/>
    <s v="Vivo Y51"/>
  </r>
  <r>
    <n v="2882"/>
    <n v="6"/>
    <n v="1"/>
    <n v="2024"/>
    <s v="Saturday"/>
    <x v="4"/>
    <n v="3"/>
    <n v="32205.360000000001"/>
    <s v="Yogesh Dutta"/>
    <n v="33"/>
    <x v="0"/>
    <s v="Cash"/>
    <n v="3"/>
    <s v="iPhone 11"/>
  </r>
  <r>
    <n v="2883"/>
    <n v="7"/>
    <n v="1"/>
    <n v="2024"/>
    <s v="Sunday"/>
    <x v="1"/>
    <n v="1"/>
    <n v="11100.3"/>
    <s v="Arun Ghosh"/>
    <n v="30"/>
    <x v="8"/>
    <s v="Credit Card"/>
    <n v="5"/>
    <s v="Vivo Y51"/>
  </r>
  <r>
    <n v="2884"/>
    <n v="7"/>
    <n v="1"/>
    <n v="2024"/>
    <s v="Sunday"/>
    <x v="3"/>
    <n v="1"/>
    <n v="17657.39"/>
    <s v="Nikhil Rathod"/>
    <n v="53"/>
    <x v="2"/>
    <s v="UPI"/>
    <n v="2"/>
    <s v="Galaxy A51"/>
  </r>
  <r>
    <n v="2885"/>
    <n v="7"/>
    <n v="1"/>
    <n v="2024"/>
    <s v="Sunday"/>
    <x v="4"/>
    <n v="2"/>
    <n v="55253.88"/>
    <s v="Sumit Sheth"/>
    <n v="53"/>
    <x v="1"/>
    <s v="Credit Card"/>
    <n v="4"/>
    <s v="iPhone SE"/>
  </r>
  <r>
    <n v="2886"/>
    <n v="8"/>
    <n v="1"/>
    <n v="2024"/>
    <s v="Monday"/>
    <x v="1"/>
    <n v="6"/>
    <n v="38292.410000000003"/>
    <s v="Tapan Ahuja"/>
    <n v="40"/>
    <x v="2"/>
    <s v="Credit Card"/>
    <n v="3"/>
    <s v="Vivo V20"/>
  </r>
  <r>
    <n v="2887"/>
    <n v="8"/>
    <n v="1"/>
    <n v="2024"/>
    <s v="Monday"/>
    <x v="2"/>
    <n v="6"/>
    <n v="18990.29"/>
    <s v="Sumit Chatterjee"/>
    <n v="31"/>
    <x v="10"/>
    <s v="UPI"/>
    <n v="4"/>
    <s v="OnePlus 9"/>
  </r>
  <r>
    <n v="2888"/>
    <n v="8"/>
    <n v="1"/>
    <n v="2024"/>
    <s v="Monday"/>
    <x v="4"/>
    <n v="3"/>
    <n v="25837.65"/>
    <s v="Priya Varma"/>
    <n v="49"/>
    <x v="2"/>
    <s v="Credit Card"/>
    <n v="3"/>
    <s v="iPhone 12"/>
  </r>
  <r>
    <n v="2889"/>
    <n v="8"/>
    <n v="1"/>
    <n v="2024"/>
    <s v="Monday"/>
    <x v="4"/>
    <n v="4"/>
    <n v="66870.210000000006"/>
    <s v="Anita Mathur"/>
    <n v="20"/>
    <x v="6"/>
    <s v="UPI"/>
    <n v="2"/>
    <s v="iPhone SE"/>
  </r>
  <r>
    <n v="2890"/>
    <n v="9"/>
    <n v="1"/>
    <n v="2024"/>
    <s v="Tuesday"/>
    <x v="0"/>
    <n v="2"/>
    <n v="32027.97"/>
    <s v="Harish Pillai"/>
    <n v="44"/>
    <x v="1"/>
    <s v="UPI"/>
    <n v="4"/>
    <s v="Mi 11"/>
  </r>
  <r>
    <n v="2891"/>
    <n v="9"/>
    <n v="1"/>
    <n v="2024"/>
    <s v="Tuesday"/>
    <x v="2"/>
    <n v="2"/>
    <n v="64460.92"/>
    <s v="Shruti Iyer"/>
    <n v="36"/>
    <x v="7"/>
    <s v="Credit Card"/>
    <n v="2"/>
    <s v="OnePlus Nord"/>
  </r>
  <r>
    <n v="2892"/>
    <n v="9"/>
    <n v="1"/>
    <n v="2024"/>
    <s v="Tuesday"/>
    <x v="3"/>
    <n v="7"/>
    <n v="28278.15"/>
    <s v="Rajesh Kapoor"/>
    <n v="39"/>
    <x v="1"/>
    <s v="Credit Card"/>
    <n v="4"/>
    <s v="Galaxy A51"/>
  </r>
  <r>
    <n v="2893"/>
    <n v="9"/>
    <n v="1"/>
    <n v="2024"/>
    <s v="Tuesday"/>
    <x v="1"/>
    <n v="1"/>
    <n v="42593.21"/>
    <s v="Bina Teja"/>
    <n v="18"/>
    <x v="1"/>
    <s v="Debit Card"/>
    <n v="3"/>
    <s v="Vivo S1"/>
  </r>
  <r>
    <n v="2894"/>
    <n v="10"/>
    <n v="1"/>
    <n v="2024"/>
    <s v="Wednesday"/>
    <x v="0"/>
    <n v="7"/>
    <n v="11228.63"/>
    <s v="Lata Rawat"/>
    <n v="22"/>
    <x v="1"/>
    <s v="Cash"/>
    <n v="2"/>
    <s v="Redmi Note 10"/>
  </r>
  <r>
    <n v="2895"/>
    <n v="10"/>
    <n v="1"/>
    <n v="2024"/>
    <s v="Wednesday"/>
    <x v="1"/>
    <n v="1"/>
    <n v="41312.51"/>
    <s v="Deepika Pathak"/>
    <n v="50"/>
    <x v="16"/>
    <s v="Cash"/>
    <n v="3"/>
    <s v="Vivo Y51"/>
  </r>
  <r>
    <n v="2896"/>
    <n v="10"/>
    <n v="1"/>
    <n v="2024"/>
    <s v="Wednesday"/>
    <x v="3"/>
    <n v="6"/>
    <n v="48216.52"/>
    <s v="Monika Patel"/>
    <n v="36"/>
    <x v="2"/>
    <s v="UPI"/>
    <n v="3"/>
    <s v="Galaxy A51"/>
  </r>
  <r>
    <n v="2897"/>
    <n v="11"/>
    <n v="1"/>
    <n v="2024"/>
    <s v="Thursday"/>
    <x v="3"/>
    <n v="3"/>
    <n v="24058.31"/>
    <s v="Monika Goyal"/>
    <n v="53"/>
    <x v="1"/>
    <s v="Debit Card"/>
    <n v="4"/>
    <s v="Galaxy S21"/>
  </r>
  <r>
    <n v="2898"/>
    <n v="11"/>
    <n v="1"/>
    <n v="2024"/>
    <s v="Thursday"/>
    <x v="4"/>
    <n v="8"/>
    <n v="44736.23"/>
    <s v="Lalita Verma"/>
    <n v="23"/>
    <x v="1"/>
    <s v="UPI"/>
    <n v="4"/>
    <s v="iPhone SE"/>
  </r>
  <r>
    <n v="2899"/>
    <n v="11"/>
    <n v="1"/>
    <n v="2024"/>
    <s v="Thursday"/>
    <x v="3"/>
    <n v="6"/>
    <n v="48830.07"/>
    <s v="Arun Shah"/>
    <n v="32"/>
    <x v="14"/>
    <s v="Debit Card"/>
    <n v="2"/>
    <s v="Galaxy Note 20"/>
  </r>
  <r>
    <n v="2900"/>
    <n v="11"/>
    <n v="1"/>
    <n v="2024"/>
    <s v="Thursday"/>
    <x v="1"/>
    <n v="2"/>
    <n v="51213.16"/>
    <s v="Jyoti Menon"/>
    <n v="53"/>
    <x v="15"/>
    <s v="UPI"/>
    <n v="5"/>
    <s v="Vivo V20"/>
  </r>
  <r>
    <n v="2901"/>
    <n v="12"/>
    <n v="1"/>
    <n v="2024"/>
    <s v="Friday"/>
    <x v="2"/>
    <n v="8"/>
    <n v="56584.2"/>
    <s v="Kavita Singh"/>
    <n v="50"/>
    <x v="9"/>
    <s v="Cash"/>
    <n v="2"/>
    <s v="OnePlus Nord"/>
  </r>
  <r>
    <n v="2902"/>
    <n v="12"/>
    <n v="1"/>
    <n v="2024"/>
    <s v="Friday"/>
    <x v="2"/>
    <n v="5"/>
    <n v="28680.35"/>
    <s v="Sachin Jain"/>
    <n v="41"/>
    <x v="2"/>
    <s v="Debit Card"/>
    <n v="4"/>
    <s v="OnePlus 9"/>
  </r>
  <r>
    <n v="2903"/>
    <n v="12"/>
    <n v="1"/>
    <n v="2024"/>
    <s v="Friday"/>
    <x v="4"/>
    <n v="8"/>
    <n v="44066.62"/>
    <s v="Deepika Patel"/>
    <n v="44"/>
    <x v="13"/>
    <s v="Credit Card"/>
    <n v="3"/>
    <s v="iPhone 11"/>
  </r>
  <r>
    <n v="2904"/>
    <n v="12"/>
    <n v="1"/>
    <n v="2024"/>
    <s v="Friday"/>
    <x v="1"/>
    <n v="8"/>
    <n v="68894.740000000005"/>
    <s v="Krishna Alva"/>
    <n v="28"/>
    <x v="1"/>
    <s v="Credit Card"/>
    <n v="2"/>
    <s v="Vivo Y51"/>
  </r>
  <r>
    <n v="2905"/>
    <n v="13"/>
    <n v="1"/>
    <n v="2024"/>
    <s v="Saturday"/>
    <x v="1"/>
    <n v="6"/>
    <n v="63888.65"/>
    <s v="Vivek Luthra"/>
    <n v="40"/>
    <x v="0"/>
    <s v="Cash"/>
    <n v="2"/>
    <s v="Vivo V20"/>
  </r>
  <r>
    <n v="2906"/>
    <n v="13"/>
    <n v="1"/>
    <n v="2024"/>
    <s v="Saturday"/>
    <x v="3"/>
    <n v="2"/>
    <n v="67159.929999999993"/>
    <s v="Sanjay Sheth"/>
    <n v="50"/>
    <x v="1"/>
    <s v="Debit Card"/>
    <n v="2"/>
    <s v="Galaxy A51"/>
  </r>
  <r>
    <n v="2907"/>
    <n v="13"/>
    <n v="1"/>
    <n v="2024"/>
    <s v="Saturday"/>
    <x v="1"/>
    <n v="8"/>
    <n v="33168.18"/>
    <s v="Ramesh Srivastava"/>
    <n v="58"/>
    <x v="1"/>
    <s v="Credit Card"/>
    <n v="2"/>
    <s v="Vivo Y51"/>
  </r>
  <r>
    <n v="2908"/>
    <n v="14"/>
    <n v="1"/>
    <n v="2024"/>
    <s v="Sunday"/>
    <x v="0"/>
    <n v="6"/>
    <n v="57215.69"/>
    <s v="Vinod Nair"/>
    <n v="46"/>
    <x v="2"/>
    <s v="Credit Card"/>
    <n v="5"/>
    <s v="Mi 11"/>
  </r>
  <r>
    <n v="2909"/>
    <n v="14"/>
    <n v="1"/>
    <n v="2024"/>
    <s v="Sunday"/>
    <x v="3"/>
    <n v="6"/>
    <n v="47193.88"/>
    <s v="Sneha Deshmukh"/>
    <n v="48"/>
    <x v="17"/>
    <s v="Credit Card"/>
    <n v="5"/>
    <s v="Galaxy A51"/>
  </r>
  <r>
    <n v="2910"/>
    <n v="14"/>
    <n v="1"/>
    <n v="2024"/>
    <s v="Sunday"/>
    <x v="0"/>
    <n v="8"/>
    <n v="14964.1"/>
    <s v="Devendra Menon"/>
    <n v="18"/>
    <x v="2"/>
    <s v="Cash"/>
    <n v="2"/>
    <s v="Redmi Note 10"/>
  </r>
  <r>
    <n v="2911"/>
    <n v="14"/>
    <n v="1"/>
    <n v="2024"/>
    <s v="Sunday"/>
    <x v="4"/>
    <n v="1"/>
    <n v="59438.82"/>
    <s v="Anjali Jain"/>
    <n v="51"/>
    <x v="0"/>
    <s v="UPI"/>
    <n v="5"/>
    <s v="iPhone 12"/>
  </r>
  <r>
    <n v="2912"/>
    <n v="15"/>
    <n v="1"/>
    <n v="2024"/>
    <s v="Monday"/>
    <x v="2"/>
    <n v="2"/>
    <n v="50626.080000000002"/>
    <s v="Umesh Goyal"/>
    <n v="35"/>
    <x v="2"/>
    <s v="Credit Card"/>
    <n v="5"/>
    <s v="OnePlus Nord"/>
  </r>
  <r>
    <n v="2913"/>
    <n v="15"/>
    <n v="1"/>
    <n v="2024"/>
    <s v="Monday"/>
    <x v="4"/>
    <n v="9"/>
    <n v="21935.040000000001"/>
    <s v="Umesh Reddy"/>
    <n v="35"/>
    <x v="6"/>
    <s v="Credit Card"/>
    <n v="2"/>
    <s v="iPhone 11"/>
  </r>
  <r>
    <n v="2914"/>
    <n v="15"/>
    <n v="1"/>
    <n v="2024"/>
    <s v="Monday"/>
    <x v="2"/>
    <n v="8"/>
    <n v="14784.31"/>
    <s v="Deepika Solanki"/>
    <n v="23"/>
    <x v="1"/>
    <s v="UPI"/>
    <n v="4"/>
    <s v="OnePlus 8T"/>
  </r>
  <r>
    <n v="2915"/>
    <n v="16"/>
    <n v="1"/>
    <n v="2024"/>
    <s v="Tuesday"/>
    <x v="4"/>
    <n v="7"/>
    <n v="60221.33"/>
    <s v="Vivek Nair"/>
    <n v="57"/>
    <x v="1"/>
    <s v="Credit Card"/>
    <n v="5"/>
    <s v="iPhone SE"/>
  </r>
  <r>
    <n v="2916"/>
    <n v="16"/>
    <n v="1"/>
    <n v="2024"/>
    <s v="Tuesday"/>
    <x v="1"/>
    <n v="7"/>
    <n v="14734.11"/>
    <s v="Anita Shah"/>
    <n v="18"/>
    <x v="11"/>
    <s v="Debit Card"/>
    <n v="2"/>
    <s v="Vivo S1"/>
  </r>
  <r>
    <n v="2917"/>
    <n v="16"/>
    <n v="1"/>
    <n v="2024"/>
    <s v="Tuesday"/>
    <x v="0"/>
    <n v="5"/>
    <n v="15481.23"/>
    <s v="Sunita Singh"/>
    <n v="59"/>
    <x v="2"/>
    <s v="Credit Card"/>
    <n v="4"/>
    <s v="Redmi Note 10"/>
  </r>
  <r>
    <n v="2918"/>
    <n v="16"/>
    <n v="1"/>
    <n v="2024"/>
    <s v="Tuesday"/>
    <x v="2"/>
    <n v="2"/>
    <n v="35644.5"/>
    <s v="Lalita Verma"/>
    <n v="47"/>
    <x v="5"/>
    <s v="UPI"/>
    <n v="5"/>
    <s v="OnePlus 9"/>
  </r>
  <r>
    <n v="2919"/>
    <n v="17"/>
    <n v="1"/>
    <n v="2024"/>
    <s v="Wednesday"/>
    <x v="3"/>
    <n v="6"/>
    <n v="18087.87"/>
    <s v="Monika Mathur"/>
    <n v="21"/>
    <x v="1"/>
    <s v="Cash"/>
    <n v="2"/>
    <s v="Galaxy A51"/>
  </r>
  <r>
    <n v="2920"/>
    <n v="17"/>
    <n v="1"/>
    <n v="2024"/>
    <s v="Wednesday"/>
    <x v="0"/>
    <n v="3"/>
    <n v="64820.18"/>
    <s v="Amit Prasad"/>
    <n v="49"/>
    <x v="2"/>
    <s v="Cash"/>
    <n v="5"/>
    <s v="Mi 11"/>
  </r>
  <r>
    <n v="2921"/>
    <n v="17"/>
    <n v="1"/>
    <n v="2024"/>
    <s v="Wednesday"/>
    <x v="3"/>
    <n v="4"/>
    <n v="38217.040000000001"/>
    <s v="Tanuja Roy"/>
    <n v="27"/>
    <x v="1"/>
    <s v="Debit Card"/>
    <n v="4"/>
    <s v="Galaxy S21"/>
  </r>
  <r>
    <n v="2922"/>
    <n v="18"/>
    <n v="1"/>
    <n v="2024"/>
    <s v="Thursday"/>
    <x v="0"/>
    <n v="2"/>
    <n v="44149.06"/>
    <s v="Mala Srivastava"/>
    <n v="22"/>
    <x v="1"/>
    <s v="Credit Card"/>
    <n v="2"/>
    <s v="Redmi 9"/>
  </r>
  <r>
    <n v="2923"/>
    <n v="18"/>
    <n v="1"/>
    <n v="2024"/>
    <s v="Thursday"/>
    <x v="0"/>
    <n v="2"/>
    <n v="65686.37"/>
    <s v="Sachin Kaur"/>
    <n v="26"/>
    <x v="2"/>
    <s v="Credit Card"/>
    <n v="4"/>
    <s v="Mi 11"/>
  </r>
  <r>
    <n v="2924"/>
    <n v="18"/>
    <n v="1"/>
    <n v="2024"/>
    <s v="Thursday"/>
    <x v="4"/>
    <n v="8"/>
    <n v="41815.79"/>
    <s v="Gita Roy"/>
    <n v="22"/>
    <x v="0"/>
    <s v="UPI"/>
    <n v="3"/>
    <s v="iPhone 12"/>
  </r>
  <r>
    <n v="2925"/>
    <n v="19"/>
    <n v="1"/>
    <n v="2024"/>
    <s v="Friday"/>
    <x v="2"/>
    <n v="8"/>
    <n v="31215.47"/>
    <s v="Pooja Deshmukh"/>
    <n v="28"/>
    <x v="1"/>
    <s v="UPI"/>
    <n v="2"/>
    <s v="OnePlus Nord"/>
  </r>
  <r>
    <n v="2926"/>
    <n v="19"/>
    <n v="1"/>
    <n v="2024"/>
    <s v="Friday"/>
    <x v="2"/>
    <n v="6"/>
    <n v="57829.31"/>
    <s v="Sumit Siddiqui"/>
    <n v="52"/>
    <x v="1"/>
    <s v="Debit Card"/>
    <n v="3"/>
    <s v="OnePlus Nord"/>
  </r>
  <r>
    <n v="2927"/>
    <n v="19"/>
    <n v="1"/>
    <n v="2024"/>
    <s v="Friday"/>
    <x v="0"/>
    <n v="5"/>
    <n v="36571.01"/>
    <s v="Rohan Pathak"/>
    <n v="44"/>
    <x v="2"/>
    <s v="Debit Card"/>
    <n v="5"/>
    <s v="Mi 11"/>
  </r>
  <r>
    <n v="2928"/>
    <n v="20"/>
    <n v="1"/>
    <n v="2024"/>
    <s v="Saturday"/>
    <x v="1"/>
    <n v="8"/>
    <n v="29108.17"/>
    <s v="Vivek Teja"/>
    <n v="21"/>
    <x v="2"/>
    <s v="Credit Card"/>
    <n v="4"/>
    <s v="Vivo Y51"/>
  </r>
  <r>
    <n v="2929"/>
    <n v="20"/>
    <n v="1"/>
    <n v="2024"/>
    <s v="Saturday"/>
    <x v="1"/>
    <n v="4"/>
    <n v="53393.77"/>
    <s v="Vivek Nair"/>
    <n v="27"/>
    <x v="3"/>
    <s v="Credit Card"/>
    <n v="2"/>
    <s v="Vivo S1"/>
  </r>
  <r>
    <n v="2930"/>
    <n v="20"/>
    <n v="1"/>
    <n v="2024"/>
    <s v="Saturday"/>
    <x v="3"/>
    <n v="4"/>
    <n v="58096.34"/>
    <s v="Radha Ghosh"/>
    <n v="56"/>
    <x v="15"/>
    <s v="Debit Card"/>
    <n v="4"/>
    <s v="Galaxy Note 20"/>
  </r>
  <r>
    <n v="2931"/>
    <n v="20"/>
    <n v="1"/>
    <n v="2024"/>
    <s v="Saturday"/>
    <x v="3"/>
    <n v="5"/>
    <n v="57502.97"/>
    <s v="Vivek Mishra"/>
    <n v="50"/>
    <x v="0"/>
    <s v="Cash"/>
    <n v="5"/>
    <s v="Galaxy A51"/>
  </r>
  <r>
    <n v="2932"/>
    <n v="21"/>
    <n v="1"/>
    <n v="2024"/>
    <s v="Sunday"/>
    <x v="4"/>
    <n v="1"/>
    <n v="68660.460000000006"/>
    <s v="Vijay Rao"/>
    <n v="55"/>
    <x v="1"/>
    <s v="Cash"/>
    <n v="2"/>
    <s v="iPhone 11"/>
  </r>
  <r>
    <n v="2933"/>
    <n v="21"/>
    <n v="1"/>
    <n v="2024"/>
    <s v="Sunday"/>
    <x v="0"/>
    <n v="1"/>
    <n v="57200.02"/>
    <s v="Vivek Mehta"/>
    <n v="25"/>
    <x v="1"/>
    <s v="Cash"/>
    <n v="3"/>
    <s v="Mi 11"/>
  </r>
  <r>
    <n v="2934"/>
    <n v="21"/>
    <n v="1"/>
    <n v="2024"/>
    <s v="Sunday"/>
    <x v="3"/>
    <n v="2"/>
    <n v="56196.01"/>
    <s v="Sunil Iyer"/>
    <n v="41"/>
    <x v="3"/>
    <s v="Cash"/>
    <n v="4"/>
    <s v="Galaxy S21"/>
  </r>
  <r>
    <n v="2935"/>
    <n v="22"/>
    <n v="1"/>
    <n v="2024"/>
    <s v="Monday"/>
    <x v="3"/>
    <n v="8"/>
    <n v="61449.120000000003"/>
    <s v="Shruti Iyer"/>
    <n v="56"/>
    <x v="14"/>
    <s v="Debit Card"/>
    <n v="2"/>
    <s v="Galaxy S21"/>
  </r>
  <r>
    <n v="2936"/>
    <n v="22"/>
    <n v="1"/>
    <n v="2024"/>
    <s v="Monday"/>
    <x v="0"/>
    <n v="7"/>
    <n v="10011.11"/>
    <s v="Arun Jain"/>
    <n v="50"/>
    <x v="15"/>
    <s v="UPI"/>
    <n v="5"/>
    <s v="Mi 11"/>
  </r>
  <r>
    <n v="2937"/>
    <n v="22"/>
    <n v="1"/>
    <n v="2024"/>
    <s v="Monday"/>
    <x v="4"/>
    <n v="9"/>
    <n v="31745.88"/>
    <s v="Nikhil Solanki"/>
    <n v="58"/>
    <x v="1"/>
    <s v="Cash"/>
    <n v="5"/>
    <s v="iPhone SE"/>
  </r>
  <r>
    <n v="2938"/>
    <n v="22"/>
    <n v="1"/>
    <n v="2024"/>
    <s v="Monday"/>
    <x v="3"/>
    <n v="5"/>
    <n v="54256.19"/>
    <s v="Reena Dutta"/>
    <n v="36"/>
    <x v="11"/>
    <s v="Debit Card"/>
    <n v="4"/>
    <s v="Galaxy Note 20"/>
  </r>
  <r>
    <n v="2939"/>
    <n v="23"/>
    <n v="1"/>
    <n v="2024"/>
    <s v="Tuesday"/>
    <x v="4"/>
    <n v="2"/>
    <n v="45983.14"/>
    <s v="Bhavana Dutta"/>
    <n v="19"/>
    <x v="1"/>
    <s v="Cash"/>
    <n v="3"/>
    <s v="iPhone 12"/>
  </r>
  <r>
    <n v="2940"/>
    <n v="23"/>
    <n v="1"/>
    <n v="2024"/>
    <s v="Tuesday"/>
    <x v="2"/>
    <n v="7"/>
    <n v="20654.32"/>
    <s v="Ayesha Ahuja"/>
    <n v="28"/>
    <x v="1"/>
    <s v="Credit Card"/>
    <n v="3"/>
    <s v="OnePlus Nord"/>
  </r>
  <r>
    <n v="2941"/>
    <n v="23"/>
    <n v="1"/>
    <n v="2024"/>
    <s v="Tuesday"/>
    <x v="4"/>
    <n v="8"/>
    <n v="28223.99"/>
    <s v="Sumit Sharma"/>
    <n v="52"/>
    <x v="15"/>
    <s v="Cash"/>
    <n v="2"/>
    <s v="iPhone 11"/>
  </r>
  <r>
    <n v="2942"/>
    <n v="24"/>
    <n v="1"/>
    <n v="2024"/>
    <s v="Wednesday"/>
    <x v="1"/>
    <n v="7"/>
    <n v="30207.56"/>
    <s v="Gita Iyer"/>
    <n v="34"/>
    <x v="2"/>
    <s v="Debit Card"/>
    <n v="2"/>
    <s v="Vivo Y51"/>
  </r>
  <r>
    <n v="2943"/>
    <n v="24"/>
    <n v="1"/>
    <n v="2024"/>
    <s v="Wednesday"/>
    <x v="1"/>
    <n v="7"/>
    <n v="44069.69"/>
    <s v="Pankaj Arora"/>
    <n v="59"/>
    <x v="1"/>
    <s v="Credit Card"/>
    <n v="4"/>
    <s v="Vivo Y51"/>
  </r>
  <r>
    <n v="2944"/>
    <n v="24"/>
    <n v="1"/>
    <n v="2024"/>
    <s v="Wednesday"/>
    <x v="4"/>
    <n v="5"/>
    <n v="59895.9"/>
    <s v="Aditya Luthra"/>
    <n v="20"/>
    <x v="18"/>
    <s v="Credit Card"/>
    <n v="2"/>
    <s v="iPhone 11"/>
  </r>
  <r>
    <n v="2945"/>
    <n v="25"/>
    <n v="1"/>
    <n v="2024"/>
    <s v="Thursday"/>
    <x v="1"/>
    <n v="2"/>
    <n v="65949.509999999995"/>
    <s v="Rohan Shah"/>
    <n v="39"/>
    <x v="1"/>
    <s v="Cash"/>
    <n v="3"/>
    <s v="Vivo V20"/>
  </r>
  <r>
    <n v="2946"/>
    <n v="25"/>
    <n v="1"/>
    <n v="2024"/>
    <s v="Thursday"/>
    <x v="2"/>
    <n v="6"/>
    <n v="55005.54"/>
    <s v="Anand Bhattacharya"/>
    <n v="52"/>
    <x v="1"/>
    <s v="Cash"/>
    <n v="2"/>
    <s v="OnePlus 9"/>
  </r>
  <r>
    <n v="2947"/>
    <n v="25"/>
    <n v="1"/>
    <n v="2024"/>
    <s v="Thursday"/>
    <x v="0"/>
    <n v="4"/>
    <n v="60577.02"/>
    <s v="Sneha Sharma"/>
    <n v="38"/>
    <x v="6"/>
    <s v="Credit Card"/>
    <n v="2"/>
    <s v="Redmi Note 10"/>
  </r>
  <r>
    <n v="2948"/>
    <n v="25"/>
    <n v="1"/>
    <n v="2024"/>
    <s v="Thursday"/>
    <x v="1"/>
    <n v="2"/>
    <n v="38205.760000000002"/>
    <s v="Neeta Yadav"/>
    <n v="42"/>
    <x v="2"/>
    <s v="UPI"/>
    <n v="4"/>
    <s v="Vivo V20"/>
  </r>
  <r>
    <n v="2949"/>
    <n v="26"/>
    <n v="1"/>
    <n v="2024"/>
    <s v="Friday"/>
    <x v="1"/>
    <n v="9"/>
    <n v="33386.519999999997"/>
    <s v="Priya Kaur"/>
    <n v="56"/>
    <x v="1"/>
    <s v="Debit Card"/>
    <n v="2"/>
    <s v="Vivo S1"/>
  </r>
  <r>
    <n v="2950"/>
    <n v="26"/>
    <n v="1"/>
    <n v="2024"/>
    <s v="Friday"/>
    <x v="4"/>
    <n v="7"/>
    <n v="33562.51"/>
    <s v="Mala Teja"/>
    <n v="19"/>
    <x v="13"/>
    <s v="Debit Card"/>
    <n v="2"/>
    <s v="iPhone SE"/>
  </r>
  <r>
    <n v="2951"/>
    <n v="26"/>
    <n v="1"/>
    <n v="2024"/>
    <s v="Friday"/>
    <x v="2"/>
    <n v="6"/>
    <n v="46962.31"/>
    <s v="Pooja Pathak"/>
    <n v="18"/>
    <x v="8"/>
    <s v="Debit Card"/>
    <n v="4"/>
    <s v="OnePlus Nord"/>
  </r>
  <r>
    <n v="2952"/>
    <n v="27"/>
    <n v="1"/>
    <n v="2024"/>
    <s v="Saturday"/>
    <x v="0"/>
    <n v="5"/>
    <n v="17454.2"/>
    <s v="Rajesh Mishra"/>
    <n v="24"/>
    <x v="7"/>
    <s v="Debit Card"/>
    <n v="2"/>
    <s v="Mi 11"/>
  </r>
  <r>
    <n v="2953"/>
    <n v="27"/>
    <n v="1"/>
    <n v="2024"/>
    <s v="Saturday"/>
    <x v="4"/>
    <n v="3"/>
    <n v="44769.65"/>
    <s v="Neeta Arora"/>
    <n v="37"/>
    <x v="1"/>
    <s v="Debit Card"/>
    <n v="2"/>
    <s v="iPhone SE"/>
  </r>
  <r>
    <n v="2954"/>
    <n v="27"/>
    <n v="1"/>
    <n v="2024"/>
    <s v="Saturday"/>
    <x v="4"/>
    <n v="4"/>
    <n v="49907.97"/>
    <s v="Neeta Deshmukh"/>
    <n v="23"/>
    <x v="2"/>
    <s v="Credit Card"/>
    <n v="2"/>
    <s v="iPhone 12"/>
  </r>
  <r>
    <n v="2955"/>
    <n v="28"/>
    <n v="1"/>
    <n v="2024"/>
    <s v="Sunday"/>
    <x v="2"/>
    <n v="3"/>
    <n v="36334.519999999997"/>
    <s v="Anita Sharma"/>
    <n v="53"/>
    <x v="2"/>
    <s v="Debit Card"/>
    <n v="2"/>
    <s v="OnePlus 9"/>
  </r>
  <r>
    <n v="2956"/>
    <n v="28"/>
    <n v="1"/>
    <n v="2024"/>
    <s v="Sunday"/>
    <x v="0"/>
    <n v="8"/>
    <n v="67190.03"/>
    <s v="Sachin Joshi"/>
    <n v="38"/>
    <x v="1"/>
    <s v="UPI"/>
    <n v="2"/>
    <s v="Mi 11"/>
  </r>
  <r>
    <n v="2957"/>
    <n v="28"/>
    <n v="1"/>
    <n v="2024"/>
    <s v="Sunday"/>
    <x v="2"/>
    <n v="3"/>
    <n v="46492.800000000003"/>
    <s v="Tanuja Roy"/>
    <n v="52"/>
    <x v="5"/>
    <s v="UPI"/>
    <n v="5"/>
    <s v="OnePlus Nord"/>
  </r>
  <r>
    <n v="2958"/>
    <n v="28"/>
    <n v="1"/>
    <n v="2024"/>
    <s v="Sunday"/>
    <x v="0"/>
    <n v="7"/>
    <n v="23199.97"/>
    <s v="Kiran Alva"/>
    <n v="53"/>
    <x v="10"/>
    <s v="Cash"/>
    <n v="5"/>
    <s v="Mi 11"/>
  </r>
  <r>
    <n v="2959"/>
    <n v="29"/>
    <n v="1"/>
    <n v="2024"/>
    <s v="Monday"/>
    <x v="2"/>
    <n v="7"/>
    <n v="38752.980000000003"/>
    <s v="Manoj Mehta"/>
    <n v="25"/>
    <x v="1"/>
    <s v="Cash"/>
    <n v="4"/>
    <s v="OnePlus 8T"/>
  </r>
  <r>
    <n v="2960"/>
    <n v="29"/>
    <n v="1"/>
    <n v="2024"/>
    <s v="Monday"/>
    <x v="4"/>
    <n v="7"/>
    <n v="50524.27"/>
    <s v="Harish Prasad"/>
    <n v="21"/>
    <x v="2"/>
    <s v="Cash"/>
    <n v="4"/>
    <s v="iPhone SE"/>
  </r>
  <r>
    <n v="2961"/>
    <n v="29"/>
    <n v="1"/>
    <n v="2024"/>
    <s v="Monday"/>
    <x v="4"/>
    <n v="7"/>
    <n v="29417.75"/>
    <s v="Krishna Patel"/>
    <n v="33"/>
    <x v="1"/>
    <s v="Cash"/>
    <n v="3"/>
    <s v="iPhone 11"/>
  </r>
  <r>
    <n v="2962"/>
    <n v="30"/>
    <n v="1"/>
    <n v="2024"/>
    <s v="Tuesday"/>
    <x v="3"/>
    <n v="2"/>
    <n v="14778.5"/>
    <s v="Meena Chatterjee"/>
    <n v="20"/>
    <x v="9"/>
    <s v="Credit Card"/>
    <n v="5"/>
    <s v="Galaxy A51"/>
  </r>
  <r>
    <n v="2963"/>
    <n v="30"/>
    <n v="1"/>
    <n v="2024"/>
    <s v="Tuesday"/>
    <x v="1"/>
    <n v="3"/>
    <n v="45006.14"/>
    <s v="Shruti Ahuja"/>
    <n v="24"/>
    <x v="1"/>
    <s v="UPI"/>
    <n v="2"/>
    <s v="Vivo S1"/>
  </r>
  <r>
    <n v="2964"/>
    <n v="30"/>
    <n v="1"/>
    <n v="2024"/>
    <s v="Tuesday"/>
    <x v="2"/>
    <n v="9"/>
    <n v="66872.210000000006"/>
    <s v="Gita Kulkarni"/>
    <n v="19"/>
    <x v="11"/>
    <s v="Credit Card"/>
    <n v="5"/>
    <s v="OnePlus 8T"/>
  </r>
  <r>
    <n v="2965"/>
    <n v="31"/>
    <n v="1"/>
    <n v="2024"/>
    <s v="Wednesday"/>
    <x v="3"/>
    <n v="3"/>
    <n v="39104.32"/>
    <s v="Gita Mehta"/>
    <n v="18"/>
    <x v="3"/>
    <s v="UPI"/>
    <n v="4"/>
    <s v="Galaxy S21"/>
  </r>
  <r>
    <n v="2966"/>
    <n v="31"/>
    <n v="1"/>
    <n v="2024"/>
    <s v="Wednesday"/>
    <x v="1"/>
    <n v="2"/>
    <n v="64366.54"/>
    <s v="Bina Joshi"/>
    <n v="18"/>
    <x v="14"/>
    <s v="Credit Card"/>
    <n v="4"/>
    <s v="Vivo S1"/>
  </r>
  <r>
    <n v="2967"/>
    <n v="31"/>
    <n v="1"/>
    <n v="2024"/>
    <s v="Wednesday"/>
    <x v="2"/>
    <n v="9"/>
    <n v="60101.42"/>
    <s v="Tapan Rathod"/>
    <n v="55"/>
    <x v="6"/>
    <s v="UPI"/>
    <n v="4"/>
    <s v="OnePlus 9"/>
  </r>
  <r>
    <n v="2968"/>
    <n v="1"/>
    <n v="2"/>
    <n v="2024"/>
    <s v="Thursday"/>
    <x v="0"/>
    <n v="9"/>
    <n v="18844.77"/>
    <s v="Deepika Kulkarni"/>
    <n v="24"/>
    <x v="3"/>
    <s v="Cash"/>
    <n v="2"/>
    <s v="Redmi Note 10"/>
  </r>
  <r>
    <n v="2969"/>
    <n v="1"/>
    <n v="2"/>
    <n v="2024"/>
    <s v="Thursday"/>
    <x v="1"/>
    <n v="4"/>
    <n v="52490.2"/>
    <s v="Namita Bhatnagar"/>
    <n v="41"/>
    <x v="11"/>
    <s v="UPI"/>
    <n v="1"/>
    <s v="Vivo S1"/>
  </r>
  <r>
    <n v="2970"/>
    <n v="1"/>
    <n v="2"/>
    <n v="2024"/>
    <s v="Thursday"/>
    <x v="4"/>
    <n v="9"/>
    <n v="36127.93"/>
    <s v="Pooja Pillai"/>
    <n v="22"/>
    <x v="2"/>
    <s v="Cash"/>
    <n v="4"/>
    <s v="iPhone 12"/>
  </r>
  <r>
    <n v="2971"/>
    <n v="2"/>
    <n v="2"/>
    <n v="2024"/>
    <s v="Friday"/>
    <x v="3"/>
    <n v="3"/>
    <n v="25014.78"/>
    <s v="Pankaj Mathur"/>
    <n v="38"/>
    <x v="2"/>
    <s v="UPI"/>
    <n v="5"/>
    <s v="Galaxy Note 20"/>
  </r>
  <r>
    <n v="2972"/>
    <n v="2"/>
    <n v="2"/>
    <n v="2024"/>
    <s v="Friday"/>
    <x v="1"/>
    <n v="7"/>
    <n v="51216.3"/>
    <s v="Shruti Iyer"/>
    <n v="45"/>
    <x v="17"/>
    <s v="Credit Card"/>
    <n v="1"/>
    <s v="Vivo Y51"/>
  </r>
  <r>
    <n v="2973"/>
    <n v="2"/>
    <n v="2"/>
    <n v="2024"/>
    <s v="Friday"/>
    <x v="1"/>
    <n v="7"/>
    <n v="54559.64"/>
    <s v="Nikhil Arora"/>
    <n v="35"/>
    <x v="6"/>
    <s v="Debit Card"/>
    <n v="5"/>
    <s v="Vivo V20"/>
  </r>
  <r>
    <n v="2974"/>
    <n v="2"/>
    <n v="2"/>
    <n v="2024"/>
    <s v="Friday"/>
    <x v="4"/>
    <n v="8"/>
    <n v="20793.78"/>
    <s v="Monika Mathur"/>
    <n v="41"/>
    <x v="11"/>
    <s v="UPI"/>
    <n v="4"/>
    <s v="iPhone 11"/>
  </r>
  <r>
    <n v="2975"/>
    <n v="3"/>
    <n v="2"/>
    <n v="2024"/>
    <s v="Saturday"/>
    <x v="2"/>
    <n v="4"/>
    <n v="64866.68"/>
    <s v="Bhavana Rawat"/>
    <n v="49"/>
    <x v="8"/>
    <s v="Credit Card"/>
    <n v="2"/>
    <s v="OnePlus Nord"/>
  </r>
  <r>
    <n v="2976"/>
    <n v="3"/>
    <n v="2"/>
    <n v="2024"/>
    <s v="Saturday"/>
    <x v="0"/>
    <n v="3"/>
    <n v="55068.83"/>
    <s v="Aditya Roy"/>
    <n v="50"/>
    <x v="1"/>
    <s v="Debit Card"/>
    <n v="1"/>
    <s v="Redmi 9"/>
  </r>
  <r>
    <n v="2977"/>
    <n v="3"/>
    <n v="2"/>
    <n v="2024"/>
    <s v="Saturday"/>
    <x v="4"/>
    <n v="3"/>
    <n v="66002.53"/>
    <s v="Neeta Mathur"/>
    <n v="27"/>
    <x v="13"/>
    <s v="Credit Card"/>
    <n v="1"/>
    <s v="iPhone 12"/>
  </r>
  <r>
    <n v="2978"/>
    <n v="3"/>
    <n v="2"/>
    <n v="2024"/>
    <s v="Saturday"/>
    <x v="0"/>
    <n v="5"/>
    <n v="29024.39"/>
    <s v="Kiran Siddiqui"/>
    <n v="26"/>
    <x v="1"/>
    <s v="Debit Card"/>
    <n v="4"/>
    <s v="Mi 11"/>
  </r>
  <r>
    <n v="2979"/>
    <n v="4"/>
    <n v="2"/>
    <n v="2024"/>
    <s v="Sunday"/>
    <x v="2"/>
    <n v="1"/>
    <n v="66360.100000000006"/>
    <s v="Reena Chatterjee"/>
    <n v="50"/>
    <x v="2"/>
    <s v="Cash"/>
    <n v="4"/>
    <s v="OnePlus 9"/>
  </r>
  <r>
    <n v="2980"/>
    <n v="4"/>
    <n v="2"/>
    <n v="2024"/>
    <s v="Sunday"/>
    <x v="1"/>
    <n v="3"/>
    <n v="32111.06"/>
    <s v="Pooja Rao"/>
    <n v="50"/>
    <x v="18"/>
    <s v="UPI"/>
    <n v="4"/>
    <s v="Vivo Y51"/>
  </r>
  <r>
    <n v="2981"/>
    <n v="4"/>
    <n v="2"/>
    <n v="2024"/>
    <s v="Sunday"/>
    <x v="0"/>
    <n v="6"/>
    <n v="13238.19"/>
    <s v="Meena Dutta"/>
    <n v="24"/>
    <x v="1"/>
    <s v="Credit Card"/>
    <n v="3"/>
    <s v="Redmi 9"/>
  </r>
  <r>
    <n v="2982"/>
    <n v="5"/>
    <n v="2"/>
    <n v="2024"/>
    <s v="Monday"/>
    <x v="3"/>
    <n v="3"/>
    <n v="55778.16"/>
    <s v="Sunita Ahuja"/>
    <n v="21"/>
    <x v="7"/>
    <s v="UPI"/>
    <n v="2"/>
    <s v="Galaxy Note 20"/>
  </r>
  <r>
    <n v="2983"/>
    <n v="5"/>
    <n v="2"/>
    <n v="2024"/>
    <s v="Monday"/>
    <x v="3"/>
    <n v="5"/>
    <n v="52210.49"/>
    <s v="Rohan Shah"/>
    <n v="45"/>
    <x v="13"/>
    <s v="Cash"/>
    <n v="2"/>
    <s v="Galaxy Note 20"/>
  </r>
  <r>
    <n v="2984"/>
    <n v="5"/>
    <n v="2"/>
    <n v="2024"/>
    <s v="Monday"/>
    <x v="4"/>
    <n v="9"/>
    <n v="45874.66"/>
    <s v="Lalita Dutta"/>
    <n v="40"/>
    <x v="17"/>
    <s v="Cash"/>
    <n v="4"/>
    <s v="iPhone 12"/>
  </r>
  <r>
    <n v="2985"/>
    <n v="5"/>
    <n v="2"/>
    <n v="2024"/>
    <s v="Monday"/>
    <x v="2"/>
    <n v="2"/>
    <n v="39393.620000000003"/>
    <s v="Yogesh Menon"/>
    <n v="49"/>
    <x v="1"/>
    <s v="UPI"/>
    <n v="3"/>
    <s v="OnePlus Nord"/>
  </r>
  <r>
    <n v="2986"/>
    <n v="6"/>
    <n v="2"/>
    <n v="2024"/>
    <s v="Tuesday"/>
    <x v="4"/>
    <n v="2"/>
    <n v="11929.92"/>
    <s v="Pankaj Roy"/>
    <n v="33"/>
    <x v="1"/>
    <s v="Credit Card"/>
    <n v="4"/>
    <s v="iPhone 11"/>
  </r>
  <r>
    <n v="2987"/>
    <n v="6"/>
    <n v="2"/>
    <n v="2024"/>
    <s v="Tuesday"/>
    <x v="4"/>
    <n v="6"/>
    <n v="47475.839999999997"/>
    <s v="Vijay Das"/>
    <n v="27"/>
    <x v="2"/>
    <s v="Credit Card"/>
    <n v="4"/>
    <s v="iPhone SE"/>
  </r>
  <r>
    <n v="2988"/>
    <n v="6"/>
    <n v="2"/>
    <n v="2024"/>
    <s v="Tuesday"/>
    <x v="4"/>
    <n v="6"/>
    <n v="35010.080000000002"/>
    <s v="Reena Kulkarni"/>
    <n v="31"/>
    <x v="10"/>
    <s v="Credit Card"/>
    <n v="2"/>
    <s v="iPhone 11"/>
  </r>
  <r>
    <n v="2989"/>
    <n v="7"/>
    <n v="2"/>
    <n v="2024"/>
    <s v="Wednesday"/>
    <x v="3"/>
    <n v="8"/>
    <n v="43612.56"/>
    <s v="Yogesh Luthra"/>
    <n v="56"/>
    <x v="2"/>
    <s v="UPI"/>
    <n v="3"/>
    <s v="Galaxy A51"/>
  </r>
  <r>
    <n v="2990"/>
    <n v="7"/>
    <n v="2"/>
    <n v="2024"/>
    <s v="Wednesday"/>
    <x v="3"/>
    <n v="2"/>
    <n v="35759.279999999999"/>
    <s v="Navin Verma"/>
    <n v="53"/>
    <x v="1"/>
    <s v="Credit Card"/>
    <n v="2"/>
    <s v="Galaxy Note 20"/>
  </r>
  <r>
    <n v="2991"/>
    <n v="7"/>
    <n v="2"/>
    <n v="2024"/>
    <s v="Wednesday"/>
    <x v="4"/>
    <n v="9"/>
    <n v="67963.37"/>
    <s v="Pooja Patel"/>
    <n v="51"/>
    <x v="6"/>
    <s v="Credit Card"/>
    <n v="4"/>
    <s v="iPhone SE"/>
  </r>
  <r>
    <n v="2992"/>
    <n v="7"/>
    <n v="2"/>
    <n v="2024"/>
    <s v="Wednesday"/>
    <x v="3"/>
    <n v="2"/>
    <n v="46246.53"/>
    <s v="Pooja Deshmukh"/>
    <n v="41"/>
    <x v="17"/>
    <s v="Debit Card"/>
    <n v="5"/>
    <s v="Galaxy Note 20"/>
  </r>
  <r>
    <n v="2993"/>
    <n v="8"/>
    <n v="2"/>
    <n v="2024"/>
    <s v="Thursday"/>
    <x v="2"/>
    <n v="1"/>
    <n v="54954.18"/>
    <s v="Kavita Bhatnagar"/>
    <n v="35"/>
    <x v="14"/>
    <s v="Credit Card"/>
    <n v="1"/>
    <s v="OnePlus Nord"/>
  </r>
  <r>
    <n v="2994"/>
    <n v="8"/>
    <n v="2"/>
    <n v="2024"/>
    <s v="Thursday"/>
    <x v="4"/>
    <n v="2"/>
    <n v="66180.820000000007"/>
    <s v="Vivek Nair"/>
    <n v="33"/>
    <x v="2"/>
    <s v="Cash"/>
    <n v="4"/>
    <s v="iPhone 11"/>
  </r>
  <r>
    <n v="2995"/>
    <n v="8"/>
    <n v="2"/>
    <n v="2024"/>
    <s v="Thursday"/>
    <x v="3"/>
    <n v="7"/>
    <n v="45495.96"/>
    <s v="Sunil Dutta"/>
    <n v="58"/>
    <x v="18"/>
    <s v="Credit Card"/>
    <n v="3"/>
    <s v="Galaxy Note 20"/>
  </r>
  <r>
    <n v="2996"/>
    <n v="9"/>
    <n v="2"/>
    <n v="2024"/>
    <s v="Friday"/>
    <x v="0"/>
    <n v="8"/>
    <n v="10723.75"/>
    <s v="Manoj Gupta"/>
    <n v="54"/>
    <x v="4"/>
    <s v="UPI"/>
    <n v="5"/>
    <s v="Redmi 9"/>
  </r>
  <r>
    <n v="2997"/>
    <n v="9"/>
    <n v="2"/>
    <n v="2024"/>
    <s v="Friday"/>
    <x v="4"/>
    <n v="5"/>
    <n v="12057.5"/>
    <s v="Pooja Roy"/>
    <n v="58"/>
    <x v="1"/>
    <s v="UPI"/>
    <n v="3"/>
    <s v="iPhone 12"/>
  </r>
  <r>
    <n v="2998"/>
    <n v="9"/>
    <n v="2"/>
    <n v="2024"/>
    <s v="Friday"/>
    <x v="4"/>
    <n v="6"/>
    <n v="52140.31"/>
    <s v="Vinod Kaur"/>
    <n v="42"/>
    <x v="12"/>
    <s v="Credit Card"/>
    <n v="4"/>
    <s v="iPhone 11"/>
  </r>
  <r>
    <n v="2999"/>
    <n v="10"/>
    <n v="2"/>
    <n v="2024"/>
    <s v="Saturday"/>
    <x v="2"/>
    <n v="1"/>
    <n v="26745.11"/>
    <s v="Yogesh Luthra"/>
    <n v="25"/>
    <x v="1"/>
    <s v="UPI"/>
    <n v="4"/>
    <s v="OnePlus 8T"/>
  </r>
  <r>
    <n v="3000"/>
    <n v="10"/>
    <n v="2"/>
    <n v="2024"/>
    <s v="Saturday"/>
    <x v="1"/>
    <n v="6"/>
    <n v="44762.78"/>
    <s v="Isha Kaur"/>
    <n v="41"/>
    <x v="1"/>
    <s v="UPI"/>
    <n v="1"/>
    <s v="Vivo V20"/>
  </r>
  <r>
    <n v="3001"/>
    <n v="10"/>
    <n v="2"/>
    <n v="2024"/>
    <s v="Saturday"/>
    <x v="1"/>
    <n v="8"/>
    <n v="22136.63"/>
    <s v="Krishna Pillai"/>
    <n v="37"/>
    <x v="7"/>
    <s v="Credit Card"/>
    <n v="3"/>
    <s v="Vivo Y51"/>
  </r>
  <r>
    <n v="3002"/>
    <n v="11"/>
    <n v="2"/>
    <n v="2024"/>
    <s v="Sunday"/>
    <x v="2"/>
    <n v="3"/>
    <n v="26214.93"/>
    <s v="Ramesh Srivastava"/>
    <n v="47"/>
    <x v="11"/>
    <s v="Debit Card"/>
    <n v="5"/>
    <s v="OnePlus Nord"/>
  </r>
  <r>
    <n v="3003"/>
    <n v="11"/>
    <n v="2"/>
    <n v="2024"/>
    <s v="Sunday"/>
    <x v="2"/>
    <n v="1"/>
    <n v="40278.46"/>
    <s v="Kiran Joshi"/>
    <n v="37"/>
    <x v="0"/>
    <s v="Debit Card"/>
    <n v="1"/>
    <s v="OnePlus 9"/>
  </r>
  <r>
    <n v="3004"/>
    <n v="11"/>
    <n v="2"/>
    <n v="2024"/>
    <s v="Sunday"/>
    <x v="2"/>
    <n v="4"/>
    <n v="68534.17"/>
    <s v="Arun Ghosh"/>
    <n v="35"/>
    <x v="4"/>
    <s v="Debit Card"/>
    <n v="3"/>
    <s v="OnePlus 8T"/>
  </r>
  <r>
    <n v="3005"/>
    <n v="12"/>
    <n v="2"/>
    <n v="2024"/>
    <s v="Monday"/>
    <x v="1"/>
    <n v="1"/>
    <n v="46976.23"/>
    <s v="Anita Prasad"/>
    <n v="21"/>
    <x v="2"/>
    <s v="Debit Card"/>
    <n v="4"/>
    <s v="Vivo S1"/>
  </r>
  <r>
    <n v="3006"/>
    <n v="12"/>
    <n v="2"/>
    <n v="2024"/>
    <s v="Monday"/>
    <x v="2"/>
    <n v="8"/>
    <n v="66168.89"/>
    <s v="Shruti Verma"/>
    <n v="53"/>
    <x v="11"/>
    <s v="Cash"/>
    <n v="1"/>
    <s v="OnePlus Nord"/>
  </r>
  <r>
    <n v="3007"/>
    <n v="12"/>
    <n v="2"/>
    <n v="2024"/>
    <s v="Monday"/>
    <x v="3"/>
    <n v="5"/>
    <n v="67562.789999999994"/>
    <s v="Pankaj Srivastava"/>
    <n v="23"/>
    <x v="2"/>
    <s v="Credit Card"/>
    <n v="4"/>
    <s v="Galaxy S21"/>
  </r>
  <r>
    <n v="3008"/>
    <n v="13"/>
    <n v="2"/>
    <n v="2024"/>
    <s v="Tuesday"/>
    <x v="4"/>
    <n v="1"/>
    <n v="22486.6"/>
    <s v="Meena Dutta"/>
    <n v="20"/>
    <x v="1"/>
    <s v="UPI"/>
    <n v="2"/>
    <s v="iPhone 12"/>
  </r>
  <r>
    <n v="3009"/>
    <n v="13"/>
    <n v="2"/>
    <n v="2024"/>
    <s v="Tuesday"/>
    <x v="4"/>
    <n v="8"/>
    <n v="28671.62"/>
    <s v="Vinod Kumar"/>
    <n v="35"/>
    <x v="1"/>
    <s v="UPI"/>
    <n v="2"/>
    <s v="iPhone 12"/>
  </r>
  <r>
    <n v="3010"/>
    <n v="13"/>
    <n v="2"/>
    <n v="2024"/>
    <s v="Tuesday"/>
    <x v="0"/>
    <n v="9"/>
    <n v="56199.54"/>
    <s v="Meena Malhotra"/>
    <n v="57"/>
    <x v="9"/>
    <s v="Credit Card"/>
    <n v="1"/>
    <s v="Redmi 9"/>
  </r>
  <r>
    <n v="3011"/>
    <n v="14"/>
    <n v="2"/>
    <n v="2024"/>
    <s v="Wednesday"/>
    <x v="0"/>
    <n v="2"/>
    <n v="62005.84"/>
    <s v="Lalita Nambiar"/>
    <n v="35"/>
    <x v="7"/>
    <s v="UPI"/>
    <n v="1"/>
    <s v="Mi 11"/>
  </r>
  <r>
    <n v="3012"/>
    <n v="14"/>
    <n v="2"/>
    <n v="2024"/>
    <s v="Wednesday"/>
    <x v="4"/>
    <n v="9"/>
    <n v="41153.599999999999"/>
    <s v="Manoj Nambiar"/>
    <n v="40"/>
    <x v="4"/>
    <s v="Cash"/>
    <n v="3"/>
    <s v="iPhone SE"/>
  </r>
  <r>
    <n v="3013"/>
    <n v="14"/>
    <n v="2"/>
    <n v="2024"/>
    <s v="Wednesday"/>
    <x v="3"/>
    <n v="8"/>
    <n v="69593.56"/>
    <s v="Lalita Alva"/>
    <n v="52"/>
    <x v="2"/>
    <s v="Debit Card"/>
    <n v="5"/>
    <s v="Galaxy A51"/>
  </r>
  <r>
    <n v="3014"/>
    <n v="14"/>
    <n v="2"/>
    <n v="2024"/>
    <s v="Wednesday"/>
    <x v="1"/>
    <n v="7"/>
    <n v="10694.33"/>
    <s v="Tanuja Reddy"/>
    <n v="23"/>
    <x v="16"/>
    <s v="Credit Card"/>
    <n v="5"/>
    <s v="Vivo V20"/>
  </r>
  <r>
    <n v="3015"/>
    <n v="15"/>
    <n v="2"/>
    <n v="2024"/>
    <s v="Thursday"/>
    <x v="1"/>
    <n v="3"/>
    <n v="27975.56"/>
    <s v="Kiran Alva"/>
    <n v="43"/>
    <x v="2"/>
    <s v="UPI"/>
    <n v="2"/>
    <s v="Vivo Y51"/>
  </r>
  <r>
    <n v="3016"/>
    <n v="15"/>
    <n v="2"/>
    <n v="2024"/>
    <s v="Thursday"/>
    <x v="3"/>
    <n v="2"/>
    <n v="47389.71"/>
    <s v="Rajesh Arora"/>
    <n v="38"/>
    <x v="15"/>
    <s v="Cash"/>
    <n v="2"/>
    <s v="Galaxy A51"/>
  </r>
  <r>
    <n v="3017"/>
    <n v="15"/>
    <n v="2"/>
    <n v="2024"/>
    <s v="Thursday"/>
    <x v="1"/>
    <n v="7"/>
    <n v="38157.39"/>
    <s v="Kavita Solanki"/>
    <n v="41"/>
    <x v="3"/>
    <s v="UPI"/>
    <n v="2"/>
    <s v="Vivo V20"/>
  </r>
  <r>
    <n v="3018"/>
    <n v="16"/>
    <n v="2"/>
    <n v="2024"/>
    <s v="Friday"/>
    <x v="2"/>
    <n v="5"/>
    <n v="16996.18"/>
    <s v="Anjali Nambiar"/>
    <n v="32"/>
    <x v="2"/>
    <s v="Cash"/>
    <n v="4"/>
    <s v="OnePlus 9"/>
  </r>
  <r>
    <n v="3019"/>
    <n v="16"/>
    <n v="2"/>
    <n v="2024"/>
    <s v="Friday"/>
    <x v="4"/>
    <n v="6"/>
    <n v="32067.23"/>
    <s v="Mala Ghosh"/>
    <n v="44"/>
    <x v="13"/>
    <s v="UPI"/>
    <n v="5"/>
    <s v="iPhone 11"/>
  </r>
  <r>
    <n v="3020"/>
    <n v="16"/>
    <n v="2"/>
    <n v="2024"/>
    <s v="Friday"/>
    <x v="4"/>
    <n v="4"/>
    <n v="11526.83"/>
    <s v="Monika Chatterjee"/>
    <n v="49"/>
    <x v="9"/>
    <s v="Debit Card"/>
    <n v="1"/>
    <s v="iPhone 11"/>
  </r>
  <r>
    <n v="3021"/>
    <n v="16"/>
    <n v="2"/>
    <n v="2024"/>
    <s v="Friday"/>
    <x v="3"/>
    <n v="2"/>
    <n v="48564.76"/>
    <s v="Ravi Ghosh"/>
    <n v="29"/>
    <x v="2"/>
    <s v="Credit Card"/>
    <n v="2"/>
    <s v="Galaxy S21"/>
  </r>
  <r>
    <n v="3022"/>
    <n v="17"/>
    <n v="2"/>
    <n v="2024"/>
    <s v="Saturday"/>
    <x v="1"/>
    <n v="9"/>
    <n v="63564.55"/>
    <s v="Vijay Chatterjee"/>
    <n v="22"/>
    <x v="4"/>
    <s v="Debit Card"/>
    <n v="3"/>
    <s v="Vivo Y51"/>
  </r>
  <r>
    <n v="3023"/>
    <n v="17"/>
    <n v="2"/>
    <n v="2024"/>
    <s v="Saturday"/>
    <x v="0"/>
    <n v="3"/>
    <n v="63092.45"/>
    <s v="Reena Sharma"/>
    <n v="24"/>
    <x v="1"/>
    <s v="Debit Card"/>
    <n v="1"/>
    <s v="Mi 11"/>
  </r>
  <r>
    <n v="3024"/>
    <n v="17"/>
    <n v="2"/>
    <n v="2024"/>
    <s v="Saturday"/>
    <x v="0"/>
    <n v="7"/>
    <n v="51972.67"/>
    <s v="Navin Chaudhary"/>
    <n v="39"/>
    <x v="12"/>
    <s v="UPI"/>
    <n v="1"/>
    <s v="Redmi 9"/>
  </r>
  <r>
    <n v="3025"/>
    <n v="18"/>
    <n v="2"/>
    <n v="2024"/>
    <s v="Sunday"/>
    <x v="1"/>
    <n v="8"/>
    <n v="37946.21"/>
    <s v="Vivek Ghosh"/>
    <n v="44"/>
    <x v="2"/>
    <s v="Debit Card"/>
    <n v="1"/>
    <s v="Vivo Y51"/>
  </r>
  <r>
    <n v="3026"/>
    <n v="18"/>
    <n v="2"/>
    <n v="2024"/>
    <s v="Sunday"/>
    <x v="0"/>
    <n v="2"/>
    <n v="40721.9"/>
    <s v="Gita Sheth"/>
    <n v="32"/>
    <x v="4"/>
    <s v="Credit Card"/>
    <n v="5"/>
    <s v="Redmi Note 10"/>
  </r>
  <r>
    <n v="3027"/>
    <n v="18"/>
    <n v="2"/>
    <n v="2024"/>
    <s v="Sunday"/>
    <x v="3"/>
    <n v="6"/>
    <n v="18215.13"/>
    <s v="Nikhil Reddy"/>
    <n v="56"/>
    <x v="2"/>
    <s v="Cash"/>
    <n v="2"/>
    <s v="Galaxy Note 20"/>
  </r>
  <r>
    <n v="3028"/>
    <n v="18"/>
    <n v="2"/>
    <n v="2024"/>
    <s v="Sunday"/>
    <x v="3"/>
    <n v="8"/>
    <n v="30461.03"/>
    <s v="Ramesh Kumar"/>
    <n v="52"/>
    <x v="11"/>
    <s v="Cash"/>
    <n v="3"/>
    <s v="Galaxy A51"/>
  </r>
  <r>
    <n v="3029"/>
    <n v="19"/>
    <n v="2"/>
    <n v="2024"/>
    <s v="Monday"/>
    <x v="1"/>
    <n v="7"/>
    <n v="21263.68"/>
    <s v="Harish Prasad"/>
    <n v="43"/>
    <x v="1"/>
    <s v="UPI"/>
    <n v="4"/>
    <s v="Vivo Y51"/>
  </r>
  <r>
    <n v="3030"/>
    <n v="19"/>
    <n v="2"/>
    <n v="2024"/>
    <s v="Monday"/>
    <x v="0"/>
    <n v="3"/>
    <n v="59272.01"/>
    <s v="Vivek Nambiar"/>
    <n v="40"/>
    <x v="1"/>
    <s v="Credit Card"/>
    <n v="3"/>
    <s v="Redmi 9"/>
  </r>
  <r>
    <n v="3031"/>
    <n v="19"/>
    <n v="2"/>
    <n v="2024"/>
    <s v="Monday"/>
    <x v="3"/>
    <n v="1"/>
    <n v="64885.23"/>
    <s v="Ravi Malhotra"/>
    <n v="30"/>
    <x v="10"/>
    <s v="Credit Card"/>
    <n v="3"/>
    <s v="Galaxy Note 20"/>
  </r>
  <r>
    <n v="3032"/>
    <n v="19"/>
    <n v="2"/>
    <n v="2024"/>
    <s v="Monday"/>
    <x v="3"/>
    <n v="6"/>
    <n v="42215.4"/>
    <s v="Vijay Chatterjee"/>
    <n v="43"/>
    <x v="1"/>
    <s v="Cash"/>
    <n v="3"/>
    <s v="Galaxy Note 20"/>
  </r>
  <r>
    <n v="3033"/>
    <n v="20"/>
    <n v="2"/>
    <n v="2024"/>
    <s v="Tuesday"/>
    <x v="2"/>
    <n v="8"/>
    <n v="53665.84"/>
    <s v="Navin Sharma"/>
    <n v="20"/>
    <x v="6"/>
    <s v="Cash"/>
    <n v="4"/>
    <s v="OnePlus 9"/>
  </r>
  <r>
    <n v="3034"/>
    <n v="20"/>
    <n v="2"/>
    <n v="2024"/>
    <s v="Tuesday"/>
    <x v="2"/>
    <n v="6"/>
    <n v="17287.89"/>
    <s v="Ravi Ghosh"/>
    <n v="46"/>
    <x v="17"/>
    <s v="Debit Card"/>
    <n v="3"/>
    <s v="OnePlus 9"/>
  </r>
  <r>
    <n v="3035"/>
    <n v="20"/>
    <n v="2"/>
    <n v="2024"/>
    <s v="Tuesday"/>
    <x v="3"/>
    <n v="5"/>
    <n v="46512.08"/>
    <s v="Aditya Kulkarni"/>
    <n v="19"/>
    <x v="12"/>
    <s v="UPI"/>
    <n v="3"/>
    <s v="Galaxy Note 20"/>
  </r>
  <r>
    <n v="3036"/>
    <n v="20"/>
    <n v="2"/>
    <n v="2024"/>
    <s v="Tuesday"/>
    <x v="1"/>
    <n v="8"/>
    <n v="52167.46"/>
    <s v="Arun Desai"/>
    <n v="45"/>
    <x v="12"/>
    <s v="Cash"/>
    <n v="2"/>
    <s v="Vivo Y51"/>
  </r>
  <r>
    <n v="3037"/>
    <n v="21"/>
    <n v="2"/>
    <n v="2024"/>
    <s v="Wednesday"/>
    <x v="4"/>
    <n v="2"/>
    <n v="37166.089999999997"/>
    <s v="Isha Desai"/>
    <n v="40"/>
    <x v="14"/>
    <s v="Cash"/>
    <n v="2"/>
    <s v="iPhone SE"/>
  </r>
  <r>
    <n v="3038"/>
    <n v="21"/>
    <n v="2"/>
    <n v="2024"/>
    <s v="Wednesday"/>
    <x v="4"/>
    <n v="1"/>
    <n v="24596.39"/>
    <s v="Navin Malhotra"/>
    <n v="53"/>
    <x v="1"/>
    <s v="Credit Card"/>
    <n v="2"/>
    <s v="iPhone SE"/>
  </r>
  <r>
    <n v="3039"/>
    <n v="21"/>
    <n v="2"/>
    <n v="2024"/>
    <s v="Wednesday"/>
    <x v="3"/>
    <n v="1"/>
    <n v="62642.47"/>
    <s v="Kunal Singh"/>
    <n v="23"/>
    <x v="14"/>
    <s v="Credit Card"/>
    <n v="1"/>
    <s v="Galaxy S21"/>
  </r>
  <r>
    <n v="3040"/>
    <n v="22"/>
    <n v="2"/>
    <n v="2024"/>
    <s v="Thursday"/>
    <x v="3"/>
    <n v="4"/>
    <n v="54574.52"/>
    <s v="Aditya Jain"/>
    <n v="28"/>
    <x v="11"/>
    <s v="Credit Card"/>
    <n v="3"/>
    <s v="Galaxy Note 20"/>
  </r>
  <r>
    <n v="3041"/>
    <n v="22"/>
    <n v="2"/>
    <n v="2024"/>
    <s v="Thursday"/>
    <x v="3"/>
    <n v="6"/>
    <n v="63991.44"/>
    <s v="Shruti Pathak"/>
    <n v="55"/>
    <x v="1"/>
    <s v="Cash"/>
    <n v="5"/>
    <s v="Galaxy Note 20"/>
  </r>
  <r>
    <n v="3042"/>
    <n v="22"/>
    <n v="2"/>
    <n v="2024"/>
    <s v="Thursday"/>
    <x v="1"/>
    <n v="9"/>
    <n v="59104.160000000003"/>
    <s v="Sunita Iyer"/>
    <n v="51"/>
    <x v="8"/>
    <s v="UPI"/>
    <n v="5"/>
    <s v="Vivo S1"/>
  </r>
  <r>
    <n v="3043"/>
    <n v="23"/>
    <n v="2"/>
    <n v="2024"/>
    <s v="Friday"/>
    <x v="2"/>
    <n v="1"/>
    <n v="69422.47"/>
    <s v="Nikhil Ahuja"/>
    <n v="34"/>
    <x v="1"/>
    <s v="Debit Card"/>
    <n v="5"/>
    <s v="OnePlus 8T"/>
  </r>
  <r>
    <n v="3044"/>
    <n v="23"/>
    <n v="2"/>
    <n v="2024"/>
    <s v="Friday"/>
    <x v="3"/>
    <n v="1"/>
    <n v="21530.36"/>
    <s v="Pankaj Verma"/>
    <n v="20"/>
    <x v="1"/>
    <s v="UPI"/>
    <n v="4"/>
    <s v="Galaxy Note 20"/>
  </r>
  <r>
    <n v="3045"/>
    <n v="23"/>
    <n v="2"/>
    <n v="2024"/>
    <s v="Friday"/>
    <x v="3"/>
    <n v="5"/>
    <n v="15204.87"/>
    <s v="Sneha Thakur"/>
    <n v="51"/>
    <x v="15"/>
    <s v="Cash"/>
    <n v="2"/>
    <s v="Galaxy Note 20"/>
  </r>
  <r>
    <n v="3046"/>
    <n v="23"/>
    <n v="2"/>
    <n v="2024"/>
    <s v="Friday"/>
    <x v="0"/>
    <n v="5"/>
    <n v="30220.17"/>
    <s v="Krishna Ahuja"/>
    <n v="39"/>
    <x v="2"/>
    <s v="Debit Card"/>
    <n v="2"/>
    <s v="Redmi 9"/>
  </r>
  <r>
    <n v="3047"/>
    <n v="24"/>
    <n v="2"/>
    <n v="2024"/>
    <s v="Saturday"/>
    <x v="1"/>
    <n v="5"/>
    <n v="17740.25"/>
    <s v="Rajesh Kulkarni"/>
    <n v="46"/>
    <x v="18"/>
    <s v="UPI"/>
    <n v="2"/>
    <s v="Vivo S1"/>
  </r>
  <r>
    <n v="3048"/>
    <n v="24"/>
    <n v="2"/>
    <n v="2024"/>
    <s v="Saturday"/>
    <x v="3"/>
    <n v="6"/>
    <n v="41387.81"/>
    <s v="Shruti Shah"/>
    <n v="46"/>
    <x v="4"/>
    <s v="Cash"/>
    <n v="4"/>
    <s v="Galaxy A51"/>
  </r>
  <r>
    <n v="3049"/>
    <n v="24"/>
    <n v="2"/>
    <n v="2024"/>
    <s v="Saturday"/>
    <x v="0"/>
    <n v="8"/>
    <n v="47981.73"/>
    <s v="Sachin Sheth"/>
    <n v="22"/>
    <x v="1"/>
    <s v="UPI"/>
    <n v="3"/>
    <s v="Mi 11"/>
  </r>
  <r>
    <n v="3050"/>
    <n v="25"/>
    <n v="2"/>
    <n v="2024"/>
    <s v="Sunday"/>
    <x v="4"/>
    <n v="3"/>
    <n v="44697.32"/>
    <s v="Anita Dutta"/>
    <n v="27"/>
    <x v="12"/>
    <s v="Cash"/>
    <n v="1"/>
    <s v="iPhone SE"/>
  </r>
  <r>
    <n v="3051"/>
    <n v="25"/>
    <n v="2"/>
    <n v="2024"/>
    <s v="Sunday"/>
    <x v="3"/>
    <n v="9"/>
    <n v="25554.41"/>
    <s v="Pooja Deshmukh"/>
    <n v="27"/>
    <x v="2"/>
    <s v="Credit Card"/>
    <n v="2"/>
    <s v="Galaxy S21"/>
  </r>
  <r>
    <n v="3052"/>
    <n v="25"/>
    <n v="2"/>
    <n v="2024"/>
    <s v="Sunday"/>
    <x v="3"/>
    <n v="1"/>
    <n v="64529.440000000002"/>
    <s v="Pankaj Mathur"/>
    <n v="26"/>
    <x v="10"/>
    <s v="UPI"/>
    <n v="3"/>
    <s v="Galaxy S21"/>
  </r>
  <r>
    <n v="3053"/>
    <n v="25"/>
    <n v="2"/>
    <n v="2024"/>
    <s v="Sunday"/>
    <x v="0"/>
    <n v="4"/>
    <n v="11270.34"/>
    <s v="Meena Patel"/>
    <n v="38"/>
    <x v="11"/>
    <s v="Credit Card"/>
    <n v="5"/>
    <s v="Redmi 9"/>
  </r>
  <r>
    <n v="3054"/>
    <n v="26"/>
    <n v="2"/>
    <n v="2024"/>
    <s v="Monday"/>
    <x v="1"/>
    <n v="9"/>
    <n v="30880.799999999999"/>
    <s v="Devendra Varma"/>
    <n v="30"/>
    <x v="8"/>
    <s v="Credit Card"/>
    <n v="1"/>
    <s v="Vivo S1"/>
  </r>
  <r>
    <n v="3055"/>
    <n v="26"/>
    <n v="2"/>
    <n v="2024"/>
    <s v="Monday"/>
    <x v="3"/>
    <n v="8"/>
    <n v="53139.55"/>
    <s v="Arun Mathur"/>
    <n v="27"/>
    <x v="9"/>
    <s v="Debit Card"/>
    <n v="5"/>
    <s v="Galaxy Note 20"/>
  </r>
  <r>
    <n v="3056"/>
    <n v="26"/>
    <n v="2"/>
    <n v="2024"/>
    <s v="Monday"/>
    <x v="4"/>
    <n v="9"/>
    <n v="56015.74"/>
    <s v="Manoj Kaur"/>
    <n v="55"/>
    <x v="10"/>
    <s v="Debit Card"/>
    <n v="3"/>
    <s v="iPhone SE"/>
  </r>
  <r>
    <n v="3057"/>
    <n v="27"/>
    <n v="2"/>
    <n v="2024"/>
    <s v="Tuesday"/>
    <x v="3"/>
    <n v="1"/>
    <n v="34967.11"/>
    <s v="Vinod Malhotra"/>
    <n v="28"/>
    <x v="16"/>
    <s v="UPI"/>
    <n v="3"/>
    <s v="Galaxy A51"/>
  </r>
  <r>
    <n v="3058"/>
    <n v="27"/>
    <n v="2"/>
    <n v="2024"/>
    <s v="Tuesday"/>
    <x v="4"/>
    <n v="9"/>
    <n v="11014.59"/>
    <s v="Neeta Patel"/>
    <n v="21"/>
    <x v="12"/>
    <s v="Cash"/>
    <n v="5"/>
    <s v="iPhone 12"/>
  </r>
  <r>
    <n v="3059"/>
    <n v="27"/>
    <n v="2"/>
    <n v="2024"/>
    <s v="Tuesday"/>
    <x v="2"/>
    <n v="3"/>
    <n v="47082.62"/>
    <s v="Anita Dutta"/>
    <n v="48"/>
    <x v="6"/>
    <s v="Debit Card"/>
    <n v="1"/>
    <s v="OnePlus 9"/>
  </r>
  <r>
    <n v="3060"/>
    <n v="27"/>
    <n v="2"/>
    <n v="2024"/>
    <s v="Tuesday"/>
    <x v="2"/>
    <n v="9"/>
    <n v="13785.68"/>
    <s v="Krishna Reddy"/>
    <n v="51"/>
    <x v="2"/>
    <s v="Debit Card"/>
    <n v="5"/>
    <s v="OnePlus 9"/>
  </r>
  <r>
    <n v="3061"/>
    <n v="28"/>
    <n v="2"/>
    <n v="2024"/>
    <s v="Wednesday"/>
    <x v="4"/>
    <n v="1"/>
    <n v="16471.349999999999"/>
    <s v="Pankaj Jain"/>
    <n v="59"/>
    <x v="2"/>
    <s v="Credit Card"/>
    <n v="5"/>
    <s v="iPhone 12"/>
  </r>
  <r>
    <n v="3062"/>
    <n v="28"/>
    <n v="2"/>
    <n v="2024"/>
    <s v="Wednesday"/>
    <x v="1"/>
    <n v="1"/>
    <n v="49015.040000000001"/>
    <s v="Bhavana Kapoor"/>
    <n v="52"/>
    <x v="13"/>
    <s v="Credit Card"/>
    <n v="5"/>
    <s v="Vivo S1"/>
  </r>
  <r>
    <n v="3063"/>
    <n v="28"/>
    <n v="2"/>
    <n v="2024"/>
    <s v="Wednesday"/>
    <x v="3"/>
    <n v="9"/>
    <n v="28749.3"/>
    <s v="Pankaj Patel"/>
    <n v="56"/>
    <x v="1"/>
    <s v="Cash"/>
    <n v="1"/>
    <s v="Galaxy S21"/>
  </r>
  <r>
    <n v="3064"/>
    <n v="28"/>
    <n v="2"/>
    <n v="2024"/>
    <s v="Wednesday"/>
    <x v="3"/>
    <n v="6"/>
    <n v="30881.81"/>
    <s v="Tanuja Srivastava"/>
    <n v="56"/>
    <x v="1"/>
    <s v="Debit Card"/>
    <n v="4"/>
    <s v="Galaxy Note 20"/>
  </r>
  <r>
    <n v="3065"/>
    <n v="29"/>
    <n v="2"/>
    <n v="2024"/>
    <s v="Thursday"/>
    <x v="2"/>
    <n v="4"/>
    <n v="39208.42"/>
    <s v="Prashant Luthra"/>
    <n v="50"/>
    <x v="1"/>
    <s v="Debit Card"/>
    <n v="1"/>
    <s v="OnePlus 8T"/>
  </r>
  <r>
    <n v="3066"/>
    <n v="29"/>
    <n v="2"/>
    <n v="2024"/>
    <s v="Thursday"/>
    <x v="4"/>
    <n v="7"/>
    <n v="68714.7"/>
    <s v="Jyoti Alva"/>
    <n v="25"/>
    <x v="6"/>
    <s v="Cash"/>
    <n v="5"/>
    <s v="iPhone SE"/>
  </r>
  <r>
    <n v="3067"/>
    <n v="29"/>
    <n v="2"/>
    <n v="2024"/>
    <s v="Thursday"/>
    <x v="3"/>
    <n v="5"/>
    <n v="67926.53"/>
    <s v="Harish Kapoor"/>
    <n v="49"/>
    <x v="12"/>
    <s v="Debit Card"/>
    <n v="2"/>
    <s v="Galaxy Note 20"/>
  </r>
  <r>
    <n v="3068"/>
    <n v="1"/>
    <n v="3"/>
    <n v="2024"/>
    <s v="Friday"/>
    <x v="3"/>
    <n v="7"/>
    <n v="34975.660000000003"/>
    <s v="Sumit Dutta"/>
    <n v="50"/>
    <x v="1"/>
    <s v="UPI"/>
    <n v="2"/>
    <s v="Galaxy S21"/>
  </r>
  <r>
    <n v="3069"/>
    <n v="1"/>
    <n v="3"/>
    <n v="2024"/>
    <s v="Friday"/>
    <x v="1"/>
    <n v="8"/>
    <n v="25929.95"/>
    <s v="Sachin Rawat"/>
    <n v="25"/>
    <x v="5"/>
    <s v="UPI"/>
    <n v="3"/>
    <s v="Vivo V20"/>
  </r>
  <r>
    <n v="3070"/>
    <n v="1"/>
    <n v="3"/>
    <n v="2024"/>
    <s v="Friday"/>
    <x v="0"/>
    <n v="8"/>
    <n v="28155.53"/>
    <s v="Reena Goyal"/>
    <n v="31"/>
    <x v="1"/>
    <s v="Cash"/>
    <n v="4"/>
    <s v="Mi 11"/>
  </r>
  <r>
    <n v="3071"/>
    <n v="1"/>
    <n v="3"/>
    <n v="2024"/>
    <s v="Friday"/>
    <x v="2"/>
    <n v="1"/>
    <n v="26126.880000000001"/>
    <s v="Kiran Ghosh"/>
    <n v="51"/>
    <x v="1"/>
    <s v="Credit Card"/>
    <n v="3"/>
    <s v="OnePlus Nord"/>
  </r>
  <r>
    <n v="3072"/>
    <n v="2"/>
    <n v="3"/>
    <n v="2024"/>
    <s v="Saturday"/>
    <x v="2"/>
    <n v="8"/>
    <n v="41934.75"/>
    <s v="Gita Mehta"/>
    <n v="25"/>
    <x v="2"/>
    <s v="Cash"/>
    <n v="3"/>
    <s v="OnePlus 9"/>
  </r>
  <r>
    <n v="3073"/>
    <n v="2"/>
    <n v="3"/>
    <n v="2024"/>
    <s v="Saturday"/>
    <x v="0"/>
    <n v="6"/>
    <n v="46411.59"/>
    <s v="Rajesh Pathak"/>
    <n v="59"/>
    <x v="18"/>
    <s v="UPI"/>
    <n v="2"/>
    <s v="Redmi Note 10"/>
  </r>
  <r>
    <n v="3074"/>
    <n v="2"/>
    <n v="3"/>
    <n v="2024"/>
    <s v="Saturday"/>
    <x v="3"/>
    <n v="4"/>
    <n v="39326.76"/>
    <s v="Priyanka Sharma"/>
    <n v="24"/>
    <x v="10"/>
    <s v="Debit Card"/>
    <n v="1"/>
    <s v="Galaxy Note 20"/>
  </r>
  <r>
    <n v="3075"/>
    <n v="3"/>
    <n v="3"/>
    <n v="2024"/>
    <s v="Sunday"/>
    <x v="1"/>
    <n v="8"/>
    <n v="34479.660000000003"/>
    <s v="Sumit Siddiqui"/>
    <n v="30"/>
    <x v="15"/>
    <s v="Debit Card"/>
    <n v="3"/>
    <s v="Vivo S1"/>
  </r>
  <r>
    <n v="3076"/>
    <n v="3"/>
    <n v="3"/>
    <n v="2024"/>
    <s v="Sunday"/>
    <x v="1"/>
    <n v="3"/>
    <n v="22677.1"/>
    <s v="Priyanka Pathak"/>
    <n v="38"/>
    <x v="18"/>
    <s v="Credit Card"/>
    <n v="3"/>
    <s v="Vivo S1"/>
  </r>
  <r>
    <n v="3077"/>
    <n v="3"/>
    <n v="3"/>
    <n v="2024"/>
    <s v="Sunday"/>
    <x v="2"/>
    <n v="4"/>
    <n v="38950.339999999997"/>
    <s v="Bhavana Kapoor"/>
    <n v="49"/>
    <x v="1"/>
    <s v="Credit Card"/>
    <n v="4"/>
    <s v="OnePlus 8T"/>
  </r>
  <r>
    <n v="3078"/>
    <n v="3"/>
    <n v="3"/>
    <n v="2024"/>
    <s v="Sunday"/>
    <x v="1"/>
    <n v="6"/>
    <n v="30466.16"/>
    <s v="Harish Kapoor"/>
    <n v="28"/>
    <x v="11"/>
    <s v="UPI"/>
    <n v="2"/>
    <s v="Vivo V20"/>
  </r>
  <r>
    <n v="3079"/>
    <n v="4"/>
    <n v="3"/>
    <n v="2024"/>
    <s v="Monday"/>
    <x v="0"/>
    <n v="7"/>
    <n v="42495.73"/>
    <s v="Ayesha Rathod"/>
    <n v="31"/>
    <x v="2"/>
    <s v="Credit Card"/>
    <n v="1"/>
    <s v="Mi 11"/>
  </r>
  <r>
    <n v="3080"/>
    <n v="4"/>
    <n v="3"/>
    <n v="2024"/>
    <s v="Monday"/>
    <x v="3"/>
    <n v="4"/>
    <n v="50511.360000000001"/>
    <s v="Sunil Menon"/>
    <n v="28"/>
    <x v="9"/>
    <s v="Cash"/>
    <n v="4"/>
    <s v="Galaxy Note 20"/>
  </r>
  <r>
    <n v="3081"/>
    <n v="4"/>
    <n v="3"/>
    <n v="2024"/>
    <s v="Monday"/>
    <x v="0"/>
    <n v="4"/>
    <n v="47998.73"/>
    <s v="Aditya Patel"/>
    <n v="19"/>
    <x v="13"/>
    <s v="UPI"/>
    <n v="1"/>
    <s v="Mi 11"/>
  </r>
  <r>
    <n v="3082"/>
    <n v="4"/>
    <n v="3"/>
    <n v="2024"/>
    <s v="Monday"/>
    <x v="4"/>
    <n v="7"/>
    <n v="37749.410000000003"/>
    <s v="Aditya Jain"/>
    <n v="51"/>
    <x v="3"/>
    <s v="Debit Card"/>
    <n v="1"/>
    <s v="iPhone 12"/>
  </r>
  <r>
    <n v="3083"/>
    <n v="5"/>
    <n v="3"/>
    <n v="2024"/>
    <s v="Tuesday"/>
    <x v="2"/>
    <n v="6"/>
    <n v="43363.15"/>
    <s v="Prashant Arora"/>
    <n v="34"/>
    <x v="3"/>
    <s v="Debit Card"/>
    <n v="3"/>
    <s v="OnePlus 9"/>
  </r>
  <r>
    <n v="3084"/>
    <n v="5"/>
    <n v="3"/>
    <n v="2024"/>
    <s v="Tuesday"/>
    <x v="1"/>
    <n v="8"/>
    <n v="27091.37"/>
    <s v="Mala Das"/>
    <n v="31"/>
    <x v="13"/>
    <s v="Debit Card"/>
    <n v="4"/>
    <s v="Vivo Y51"/>
  </r>
  <r>
    <n v="3085"/>
    <n v="5"/>
    <n v="3"/>
    <n v="2024"/>
    <s v="Tuesday"/>
    <x v="4"/>
    <n v="1"/>
    <n v="11454.42"/>
    <s v="Neeta Patel"/>
    <n v="42"/>
    <x v="9"/>
    <s v="Credit Card"/>
    <n v="3"/>
    <s v="iPhone SE"/>
  </r>
  <r>
    <n v="3086"/>
    <n v="6"/>
    <n v="3"/>
    <n v="2024"/>
    <s v="Wednesday"/>
    <x v="1"/>
    <n v="7"/>
    <n v="47501.17"/>
    <s v="Vijay Sheth"/>
    <n v="44"/>
    <x v="2"/>
    <s v="UPI"/>
    <n v="5"/>
    <s v="Vivo Y51"/>
  </r>
  <r>
    <n v="3087"/>
    <n v="6"/>
    <n v="3"/>
    <n v="2024"/>
    <s v="Wednesday"/>
    <x v="3"/>
    <n v="7"/>
    <n v="25154.11"/>
    <s v="Isha Ghosh"/>
    <n v="25"/>
    <x v="1"/>
    <s v="Credit Card"/>
    <n v="1"/>
    <s v="Galaxy S21"/>
  </r>
  <r>
    <n v="3088"/>
    <n v="6"/>
    <n v="3"/>
    <n v="2024"/>
    <s v="Wednesday"/>
    <x v="3"/>
    <n v="7"/>
    <n v="50137.22"/>
    <s v="Ayesha Thakur"/>
    <n v="34"/>
    <x v="9"/>
    <s v="Cash"/>
    <n v="4"/>
    <s v="Galaxy A51"/>
  </r>
  <r>
    <n v="3089"/>
    <n v="7"/>
    <n v="3"/>
    <n v="2024"/>
    <s v="Thursday"/>
    <x v="3"/>
    <n v="7"/>
    <n v="54820.51"/>
    <s v="Prashant Gupta"/>
    <n v="22"/>
    <x v="1"/>
    <s v="UPI"/>
    <n v="2"/>
    <s v="Galaxy A51"/>
  </r>
  <r>
    <n v="3090"/>
    <n v="7"/>
    <n v="3"/>
    <n v="2024"/>
    <s v="Thursday"/>
    <x v="1"/>
    <n v="8"/>
    <n v="64955.66"/>
    <s v="Pooja Chatterjee"/>
    <n v="29"/>
    <x v="12"/>
    <s v="Credit Card"/>
    <n v="3"/>
    <s v="Vivo V20"/>
  </r>
  <r>
    <n v="3091"/>
    <n v="7"/>
    <n v="3"/>
    <n v="2024"/>
    <s v="Thursday"/>
    <x v="4"/>
    <n v="9"/>
    <n v="67487.37"/>
    <s v="Meena Prasad"/>
    <n v="55"/>
    <x v="13"/>
    <s v="Debit Card"/>
    <n v="5"/>
    <s v="iPhone 12"/>
  </r>
  <r>
    <n v="3092"/>
    <n v="8"/>
    <n v="3"/>
    <n v="2024"/>
    <s v="Friday"/>
    <x v="3"/>
    <n v="9"/>
    <n v="10631.56"/>
    <s v="Bhavana Siddiqui"/>
    <n v="35"/>
    <x v="13"/>
    <s v="Debit Card"/>
    <n v="5"/>
    <s v="Galaxy Note 20"/>
  </r>
  <r>
    <n v="3093"/>
    <n v="8"/>
    <n v="3"/>
    <n v="2024"/>
    <s v="Friday"/>
    <x v="4"/>
    <n v="2"/>
    <n v="69422.45"/>
    <s v="Vivek Alva"/>
    <n v="43"/>
    <x v="1"/>
    <s v="Cash"/>
    <n v="5"/>
    <s v="iPhone 12"/>
  </r>
  <r>
    <n v="3094"/>
    <n v="8"/>
    <n v="3"/>
    <n v="2024"/>
    <s v="Friday"/>
    <x v="1"/>
    <n v="7"/>
    <n v="50981.1"/>
    <s v="Kavita Desai"/>
    <n v="48"/>
    <x v="10"/>
    <s v="Cash"/>
    <n v="3"/>
    <s v="Vivo S1"/>
  </r>
  <r>
    <n v="3095"/>
    <n v="8"/>
    <n v="3"/>
    <n v="2024"/>
    <s v="Friday"/>
    <x v="4"/>
    <n v="7"/>
    <n v="48611.45"/>
    <s v="Anjali Jain"/>
    <n v="54"/>
    <x v="1"/>
    <s v="Cash"/>
    <n v="2"/>
    <s v="iPhone 11"/>
  </r>
  <r>
    <n v="3096"/>
    <n v="9"/>
    <n v="3"/>
    <n v="2024"/>
    <s v="Saturday"/>
    <x v="1"/>
    <n v="4"/>
    <n v="10912.79"/>
    <s v="Arun Luthra"/>
    <n v="23"/>
    <x v="2"/>
    <s v="Debit Card"/>
    <n v="4"/>
    <s v="Vivo Y51"/>
  </r>
  <r>
    <n v="3097"/>
    <n v="9"/>
    <n v="3"/>
    <n v="2024"/>
    <s v="Saturday"/>
    <x v="1"/>
    <n v="9"/>
    <n v="61674"/>
    <s v="Meena Malhotra"/>
    <n v="58"/>
    <x v="10"/>
    <s v="Credit Card"/>
    <n v="1"/>
    <s v="Vivo S1"/>
  </r>
  <r>
    <n v="3098"/>
    <n v="9"/>
    <n v="3"/>
    <n v="2024"/>
    <s v="Saturday"/>
    <x v="2"/>
    <n v="8"/>
    <n v="18729.490000000002"/>
    <s v="Anita Ghosh"/>
    <n v="32"/>
    <x v="14"/>
    <s v="Debit Card"/>
    <n v="2"/>
    <s v="OnePlus 9"/>
  </r>
  <r>
    <n v="3099"/>
    <n v="10"/>
    <n v="3"/>
    <n v="2024"/>
    <s v="Sunday"/>
    <x v="1"/>
    <n v="1"/>
    <n v="60239.81"/>
    <s v="Priya Roy"/>
    <n v="59"/>
    <x v="0"/>
    <s v="Debit Card"/>
    <n v="3"/>
    <s v="Vivo Y51"/>
  </r>
  <r>
    <n v="3100"/>
    <n v="10"/>
    <n v="3"/>
    <n v="2024"/>
    <s v="Sunday"/>
    <x v="1"/>
    <n v="2"/>
    <n v="10933.75"/>
    <s v="Nikhil Pathak"/>
    <n v="43"/>
    <x v="15"/>
    <s v="Debit Card"/>
    <n v="4"/>
    <s v="Vivo S1"/>
  </r>
  <r>
    <n v="3101"/>
    <n v="10"/>
    <n v="3"/>
    <n v="2024"/>
    <s v="Sunday"/>
    <x v="0"/>
    <n v="2"/>
    <n v="48757.86"/>
    <s v="Ayesha Dutta"/>
    <n v="29"/>
    <x v="14"/>
    <s v="Credit Card"/>
    <n v="1"/>
    <s v="Redmi 9"/>
  </r>
  <r>
    <n v="3102"/>
    <n v="10"/>
    <n v="3"/>
    <n v="2024"/>
    <s v="Sunday"/>
    <x v="3"/>
    <n v="8"/>
    <n v="36088.089999999997"/>
    <s v="Bhavana Mathur"/>
    <n v="58"/>
    <x v="2"/>
    <s v="Debit Card"/>
    <n v="4"/>
    <s v="Galaxy A51"/>
  </r>
  <r>
    <n v="3103"/>
    <n v="11"/>
    <n v="3"/>
    <n v="2024"/>
    <s v="Monday"/>
    <x v="2"/>
    <n v="1"/>
    <n v="22046"/>
    <s v="Sumit Goyal"/>
    <n v="31"/>
    <x v="1"/>
    <s v="Cash"/>
    <n v="1"/>
    <s v="OnePlus 9"/>
  </r>
  <r>
    <n v="3104"/>
    <n v="11"/>
    <n v="3"/>
    <n v="2024"/>
    <s v="Monday"/>
    <x v="2"/>
    <n v="4"/>
    <n v="16453.68"/>
    <s v="Manoj Shah"/>
    <n v="18"/>
    <x v="8"/>
    <s v="Cash"/>
    <n v="1"/>
    <s v="OnePlus 9"/>
  </r>
  <r>
    <n v="3105"/>
    <n v="11"/>
    <n v="3"/>
    <n v="2024"/>
    <s v="Monday"/>
    <x v="2"/>
    <n v="5"/>
    <n v="36407.660000000003"/>
    <s v="Shruti Menon"/>
    <n v="34"/>
    <x v="2"/>
    <s v="Cash"/>
    <n v="5"/>
    <s v="OnePlus 9"/>
  </r>
  <r>
    <n v="3106"/>
    <n v="11"/>
    <n v="3"/>
    <n v="2024"/>
    <s v="Monday"/>
    <x v="0"/>
    <n v="9"/>
    <n v="17398.349999999999"/>
    <s v="Amit Prasad"/>
    <n v="50"/>
    <x v="18"/>
    <s v="Cash"/>
    <n v="3"/>
    <s v="Redmi Note 10"/>
  </r>
  <r>
    <n v="3107"/>
    <n v="12"/>
    <n v="3"/>
    <n v="2024"/>
    <s v="Tuesday"/>
    <x v="1"/>
    <n v="7"/>
    <n v="39186.800000000003"/>
    <s v="Vivek Deshmukh"/>
    <n v="46"/>
    <x v="1"/>
    <s v="Debit Card"/>
    <n v="2"/>
    <s v="Vivo S1"/>
  </r>
  <r>
    <n v="3108"/>
    <n v="12"/>
    <n v="3"/>
    <n v="2024"/>
    <s v="Tuesday"/>
    <x v="3"/>
    <n v="8"/>
    <n v="47513.02"/>
    <s v="Aditya Luthra"/>
    <n v="48"/>
    <x v="17"/>
    <s v="Debit Card"/>
    <n v="5"/>
    <s v="Galaxy Note 20"/>
  </r>
  <r>
    <n v="3109"/>
    <n v="12"/>
    <n v="3"/>
    <n v="2024"/>
    <s v="Tuesday"/>
    <x v="4"/>
    <n v="9"/>
    <n v="59643.05"/>
    <s v="Amit Teja"/>
    <n v="25"/>
    <x v="15"/>
    <s v="Debit Card"/>
    <n v="5"/>
    <s v="iPhone SE"/>
  </r>
  <r>
    <n v="3110"/>
    <n v="13"/>
    <n v="3"/>
    <n v="2024"/>
    <s v="Wednesday"/>
    <x v="1"/>
    <n v="7"/>
    <n v="50718.97"/>
    <s v="Mala Malhotra"/>
    <n v="47"/>
    <x v="1"/>
    <s v="Cash"/>
    <n v="4"/>
    <s v="Vivo Y51"/>
  </r>
  <r>
    <n v="3111"/>
    <n v="13"/>
    <n v="3"/>
    <n v="2024"/>
    <s v="Wednesday"/>
    <x v="0"/>
    <n v="5"/>
    <n v="13911.99"/>
    <s v="Pankaj Bhattacharya"/>
    <n v="30"/>
    <x v="2"/>
    <s v="Credit Card"/>
    <n v="1"/>
    <s v="Mi 11"/>
  </r>
  <r>
    <n v="3112"/>
    <n v="13"/>
    <n v="3"/>
    <n v="2024"/>
    <s v="Wednesday"/>
    <x v="1"/>
    <n v="5"/>
    <n v="28445.95"/>
    <s v="Devendra Mathur"/>
    <n v="33"/>
    <x v="1"/>
    <s v="UPI"/>
    <n v="1"/>
    <s v="Vivo Y51"/>
  </r>
  <r>
    <n v="3113"/>
    <n v="14"/>
    <n v="3"/>
    <n v="2024"/>
    <s v="Thursday"/>
    <x v="1"/>
    <n v="6"/>
    <n v="27278.720000000001"/>
    <s v="Harish Kaur"/>
    <n v="19"/>
    <x v="10"/>
    <s v="UPI"/>
    <n v="4"/>
    <s v="Vivo V20"/>
  </r>
  <r>
    <n v="3114"/>
    <n v="14"/>
    <n v="3"/>
    <n v="2024"/>
    <s v="Thursday"/>
    <x v="0"/>
    <n v="5"/>
    <n v="64901.95"/>
    <s v="Pankaj Varma"/>
    <n v="35"/>
    <x v="1"/>
    <s v="UPI"/>
    <n v="3"/>
    <s v="Redmi 9"/>
  </r>
  <r>
    <n v="3115"/>
    <n v="14"/>
    <n v="3"/>
    <n v="2024"/>
    <s v="Thursday"/>
    <x v="2"/>
    <n v="9"/>
    <n v="62066.92"/>
    <s v="Anita Mathur"/>
    <n v="52"/>
    <x v="6"/>
    <s v="Credit Card"/>
    <n v="1"/>
    <s v="OnePlus 8T"/>
  </r>
  <r>
    <n v="3116"/>
    <n v="14"/>
    <n v="3"/>
    <n v="2024"/>
    <s v="Thursday"/>
    <x v="2"/>
    <n v="3"/>
    <n v="32208.880000000001"/>
    <s v="Priyanka Dutta"/>
    <n v="36"/>
    <x v="2"/>
    <s v="Debit Card"/>
    <n v="5"/>
    <s v="OnePlus Nord"/>
  </r>
  <r>
    <n v="3117"/>
    <n v="15"/>
    <n v="3"/>
    <n v="2024"/>
    <s v="Friday"/>
    <x v="3"/>
    <n v="3"/>
    <n v="14269.32"/>
    <s v="Priyanka Teja"/>
    <n v="30"/>
    <x v="16"/>
    <s v="UPI"/>
    <n v="5"/>
    <s v="Galaxy S21"/>
  </r>
  <r>
    <n v="3118"/>
    <n v="15"/>
    <n v="3"/>
    <n v="2024"/>
    <s v="Friday"/>
    <x v="3"/>
    <n v="7"/>
    <n v="63646.44"/>
    <s v="Nikhil Menon"/>
    <n v="21"/>
    <x v="1"/>
    <s v="UPI"/>
    <n v="1"/>
    <s v="Galaxy Note 20"/>
  </r>
  <r>
    <n v="3119"/>
    <n v="15"/>
    <n v="3"/>
    <n v="2024"/>
    <s v="Friday"/>
    <x v="2"/>
    <n v="7"/>
    <n v="63291.4"/>
    <s v="Kavita Teja"/>
    <n v="36"/>
    <x v="1"/>
    <s v="Debit Card"/>
    <n v="1"/>
    <s v="OnePlus 9"/>
  </r>
  <r>
    <n v="3120"/>
    <n v="15"/>
    <n v="3"/>
    <n v="2024"/>
    <s v="Friday"/>
    <x v="4"/>
    <n v="6"/>
    <n v="61284.77"/>
    <s v="Rohan Dutta"/>
    <n v="42"/>
    <x v="3"/>
    <s v="UPI"/>
    <n v="3"/>
    <s v="iPhone 12"/>
  </r>
  <r>
    <n v="3121"/>
    <n v="16"/>
    <n v="3"/>
    <n v="2024"/>
    <s v="Saturday"/>
    <x v="1"/>
    <n v="3"/>
    <n v="60704.9"/>
    <s v="Namita Reddy"/>
    <n v="55"/>
    <x v="2"/>
    <s v="Debit Card"/>
    <n v="1"/>
    <s v="Vivo S1"/>
  </r>
  <r>
    <n v="3122"/>
    <n v="16"/>
    <n v="3"/>
    <n v="2024"/>
    <s v="Saturday"/>
    <x v="4"/>
    <n v="7"/>
    <n v="38815.24"/>
    <s v="Monika Nambiar"/>
    <n v="48"/>
    <x v="1"/>
    <s v="UPI"/>
    <n v="3"/>
    <s v="iPhone 11"/>
  </r>
  <r>
    <n v="3123"/>
    <n v="16"/>
    <n v="3"/>
    <n v="2024"/>
    <s v="Saturday"/>
    <x v="1"/>
    <n v="5"/>
    <n v="20645.900000000001"/>
    <s v="Ravi Dutta"/>
    <n v="53"/>
    <x v="18"/>
    <s v="Debit Card"/>
    <n v="5"/>
    <s v="Vivo V20"/>
  </r>
  <r>
    <n v="3124"/>
    <n v="17"/>
    <n v="3"/>
    <n v="2024"/>
    <s v="Sunday"/>
    <x v="2"/>
    <n v="7"/>
    <n v="38649.279999999999"/>
    <s v="Anita Pillai"/>
    <n v="21"/>
    <x v="2"/>
    <s v="Cash"/>
    <n v="3"/>
    <s v="OnePlus Nord"/>
  </r>
  <r>
    <n v="3125"/>
    <n v="17"/>
    <n v="3"/>
    <n v="2024"/>
    <s v="Sunday"/>
    <x v="3"/>
    <n v="2"/>
    <n v="39675.870000000003"/>
    <s v="Priya Thakur"/>
    <n v="56"/>
    <x v="1"/>
    <s v="Credit Card"/>
    <n v="1"/>
    <s v="Galaxy Note 20"/>
  </r>
  <r>
    <n v="3126"/>
    <n v="17"/>
    <n v="3"/>
    <n v="2024"/>
    <s v="Sunday"/>
    <x v="3"/>
    <n v="6"/>
    <n v="39395.910000000003"/>
    <s v="Harish Mishra"/>
    <n v="24"/>
    <x v="4"/>
    <s v="UPI"/>
    <n v="2"/>
    <s v="Galaxy Note 20"/>
  </r>
  <r>
    <n v="3127"/>
    <n v="18"/>
    <n v="3"/>
    <n v="2024"/>
    <s v="Monday"/>
    <x v="4"/>
    <n v="8"/>
    <n v="42326.36"/>
    <s v="Bhavana Luthra"/>
    <n v="33"/>
    <x v="1"/>
    <s v="Debit Card"/>
    <n v="1"/>
    <s v="iPhone 12"/>
  </r>
  <r>
    <n v="3128"/>
    <n v="18"/>
    <n v="3"/>
    <n v="2024"/>
    <s v="Monday"/>
    <x v="3"/>
    <n v="1"/>
    <n v="25459.42"/>
    <s v="Monika Ahuja"/>
    <n v="22"/>
    <x v="6"/>
    <s v="Cash"/>
    <n v="2"/>
    <s v="Galaxy S21"/>
  </r>
  <r>
    <n v="3129"/>
    <n v="18"/>
    <n v="3"/>
    <n v="2024"/>
    <s v="Monday"/>
    <x v="2"/>
    <n v="4"/>
    <n v="31974.47"/>
    <s v="Vijay Rawat"/>
    <n v="40"/>
    <x v="1"/>
    <s v="Debit Card"/>
    <n v="5"/>
    <s v="OnePlus 9"/>
  </r>
  <r>
    <n v="3130"/>
    <n v="19"/>
    <n v="3"/>
    <n v="2024"/>
    <s v="Tuesday"/>
    <x v="4"/>
    <n v="1"/>
    <n v="36051.199999999997"/>
    <s v="Arun Gupta"/>
    <n v="53"/>
    <x v="6"/>
    <s v="UPI"/>
    <n v="4"/>
    <s v="iPhone 12"/>
  </r>
  <r>
    <n v="3131"/>
    <n v="19"/>
    <n v="3"/>
    <n v="2024"/>
    <s v="Tuesday"/>
    <x v="1"/>
    <n v="1"/>
    <n v="17867.27"/>
    <s v="Radha Sheth"/>
    <n v="49"/>
    <x v="1"/>
    <s v="UPI"/>
    <n v="5"/>
    <s v="Vivo Y51"/>
  </r>
  <r>
    <n v="3132"/>
    <n v="19"/>
    <n v="3"/>
    <n v="2024"/>
    <s v="Tuesday"/>
    <x v="3"/>
    <n v="8"/>
    <n v="37321.85"/>
    <s v="Nikhil Arora"/>
    <n v="41"/>
    <x v="12"/>
    <s v="UPI"/>
    <n v="5"/>
    <s v="Galaxy S21"/>
  </r>
  <r>
    <n v="3133"/>
    <n v="20"/>
    <n v="3"/>
    <n v="2024"/>
    <s v="Wednesday"/>
    <x v="0"/>
    <n v="7"/>
    <n v="58628.18"/>
    <s v="Meena Prasad"/>
    <n v="42"/>
    <x v="2"/>
    <s v="UPI"/>
    <n v="5"/>
    <s v="Redmi Note 10"/>
  </r>
  <r>
    <n v="3134"/>
    <n v="20"/>
    <n v="3"/>
    <n v="2024"/>
    <s v="Wednesday"/>
    <x v="3"/>
    <n v="1"/>
    <n v="59683.57"/>
    <s v="Umesh Nair"/>
    <n v="45"/>
    <x v="1"/>
    <s v="UPI"/>
    <n v="3"/>
    <s v="Galaxy S21"/>
  </r>
  <r>
    <n v="3135"/>
    <n v="20"/>
    <n v="3"/>
    <n v="2024"/>
    <s v="Wednesday"/>
    <x v="1"/>
    <n v="2"/>
    <n v="34693.83"/>
    <s v="Harish Mehta"/>
    <n v="36"/>
    <x v="7"/>
    <s v="Cash"/>
    <n v="5"/>
    <s v="Vivo Y51"/>
  </r>
  <r>
    <n v="3136"/>
    <n v="21"/>
    <n v="3"/>
    <n v="2024"/>
    <s v="Thursday"/>
    <x v="4"/>
    <n v="4"/>
    <n v="41128.5"/>
    <s v="Sunita Singh"/>
    <n v="24"/>
    <x v="1"/>
    <s v="Debit Card"/>
    <n v="4"/>
    <s v="iPhone SE"/>
  </r>
  <r>
    <n v="3137"/>
    <n v="21"/>
    <n v="3"/>
    <n v="2024"/>
    <s v="Thursday"/>
    <x v="1"/>
    <n v="1"/>
    <n v="12019.02"/>
    <s v="Nikhil Luthra"/>
    <n v="58"/>
    <x v="16"/>
    <s v="Debit Card"/>
    <n v="1"/>
    <s v="Vivo S1"/>
  </r>
  <r>
    <n v="3138"/>
    <n v="21"/>
    <n v="3"/>
    <n v="2024"/>
    <s v="Thursday"/>
    <x v="0"/>
    <n v="3"/>
    <n v="50465.95"/>
    <s v="Priyanka Patel"/>
    <n v="34"/>
    <x v="5"/>
    <s v="UPI"/>
    <n v="2"/>
    <s v="Mi 11"/>
  </r>
  <r>
    <n v="3139"/>
    <n v="21"/>
    <n v="3"/>
    <n v="2024"/>
    <s v="Thursday"/>
    <x v="2"/>
    <n v="8"/>
    <n v="34276.35"/>
    <s v="Shruti Sharma"/>
    <n v="19"/>
    <x v="2"/>
    <s v="Debit Card"/>
    <n v="5"/>
    <s v="OnePlus Nord"/>
  </r>
  <r>
    <n v="3140"/>
    <n v="22"/>
    <n v="3"/>
    <n v="2024"/>
    <s v="Friday"/>
    <x v="3"/>
    <n v="8"/>
    <n v="36728.660000000003"/>
    <s v="Priyanka Pillai"/>
    <n v="33"/>
    <x v="1"/>
    <s v="Cash"/>
    <n v="2"/>
    <s v="Galaxy Note 20"/>
  </r>
  <r>
    <n v="3141"/>
    <n v="22"/>
    <n v="3"/>
    <n v="2024"/>
    <s v="Friday"/>
    <x v="4"/>
    <n v="8"/>
    <n v="62420.36"/>
    <s v="Ravi Sharma"/>
    <n v="56"/>
    <x v="2"/>
    <s v="UPI"/>
    <n v="5"/>
    <s v="iPhone 12"/>
  </r>
  <r>
    <n v="3142"/>
    <n v="22"/>
    <n v="3"/>
    <n v="2024"/>
    <s v="Friday"/>
    <x v="2"/>
    <n v="6"/>
    <n v="37710.07"/>
    <s v="Reena Dutta"/>
    <n v="35"/>
    <x v="1"/>
    <s v="Credit Card"/>
    <n v="3"/>
    <s v="OnePlus Nord"/>
  </r>
  <r>
    <n v="3143"/>
    <n v="22"/>
    <n v="3"/>
    <n v="2024"/>
    <s v="Friday"/>
    <x v="1"/>
    <n v="6"/>
    <n v="11271.53"/>
    <s v="Arun Deshmukh"/>
    <n v="56"/>
    <x v="2"/>
    <s v="Cash"/>
    <n v="2"/>
    <s v="Vivo Y51"/>
  </r>
  <r>
    <n v="3144"/>
    <n v="23"/>
    <n v="3"/>
    <n v="2024"/>
    <s v="Saturday"/>
    <x v="4"/>
    <n v="5"/>
    <n v="23649.45"/>
    <s v="Harish Solanki"/>
    <n v="18"/>
    <x v="2"/>
    <s v="UPI"/>
    <n v="5"/>
    <s v="iPhone 11"/>
  </r>
  <r>
    <n v="3145"/>
    <n v="23"/>
    <n v="3"/>
    <n v="2024"/>
    <s v="Saturday"/>
    <x v="2"/>
    <n v="9"/>
    <n v="38537.24"/>
    <s v="Harish Teja"/>
    <n v="20"/>
    <x v="1"/>
    <s v="Debit Card"/>
    <n v="5"/>
    <s v="OnePlus 9"/>
  </r>
  <r>
    <n v="3146"/>
    <n v="23"/>
    <n v="3"/>
    <n v="2024"/>
    <s v="Saturday"/>
    <x v="4"/>
    <n v="4"/>
    <n v="35463.78"/>
    <s v="Tapan Kulkarni"/>
    <n v="38"/>
    <x v="11"/>
    <s v="Cash"/>
    <n v="4"/>
    <s v="iPhone 11"/>
  </r>
  <r>
    <n v="3147"/>
    <n v="23"/>
    <n v="3"/>
    <n v="2024"/>
    <s v="Saturday"/>
    <x v="0"/>
    <n v="7"/>
    <n v="61622.21"/>
    <s v="Rajesh Mathur"/>
    <n v="47"/>
    <x v="8"/>
    <s v="UPI"/>
    <n v="4"/>
    <s v="Redmi 9"/>
  </r>
  <r>
    <n v="3148"/>
    <n v="24"/>
    <n v="3"/>
    <n v="2024"/>
    <s v="Sunday"/>
    <x v="0"/>
    <n v="1"/>
    <n v="42528.25"/>
    <s v="Monika Rawat"/>
    <n v="28"/>
    <x v="1"/>
    <s v="Debit Card"/>
    <n v="4"/>
    <s v="Redmi Note 10"/>
  </r>
  <r>
    <n v="3149"/>
    <n v="24"/>
    <n v="3"/>
    <n v="2024"/>
    <s v="Sunday"/>
    <x v="3"/>
    <n v="9"/>
    <n v="51378.14"/>
    <s v="Sunita Teja"/>
    <n v="39"/>
    <x v="12"/>
    <s v="Debit Card"/>
    <n v="3"/>
    <s v="Galaxy Note 20"/>
  </r>
  <r>
    <n v="3150"/>
    <n v="24"/>
    <n v="3"/>
    <n v="2024"/>
    <s v="Sunday"/>
    <x v="3"/>
    <n v="7"/>
    <n v="38159.4"/>
    <s v="Monika Rathod"/>
    <n v="42"/>
    <x v="2"/>
    <s v="UPI"/>
    <n v="2"/>
    <s v="Galaxy S21"/>
  </r>
  <r>
    <n v="3151"/>
    <n v="24"/>
    <n v="3"/>
    <n v="2024"/>
    <s v="Sunday"/>
    <x v="0"/>
    <n v="9"/>
    <n v="36379.339999999997"/>
    <s v="Lalita Ahuja"/>
    <n v="20"/>
    <x v="1"/>
    <s v="Cash"/>
    <n v="3"/>
    <s v="Mi 11"/>
  </r>
  <r>
    <n v="3152"/>
    <n v="25"/>
    <n v="3"/>
    <n v="2024"/>
    <s v="Monday"/>
    <x v="4"/>
    <n v="7"/>
    <n v="36777.199999999997"/>
    <s v="Yogesh Malhotra"/>
    <n v="47"/>
    <x v="16"/>
    <s v="UPI"/>
    <n v="1"/>
    <s v="iPhone SE"/>
  </r>
  <r>
    <n v="3153"/>
    <n v="25"/>
    <n v="3"/>
    <n v="2024"/>
    <s v="Monday"/>
    <x v="0"/>
    <n v="2"/>
    <n v="34655.29"/>
    <s v="Aditya Jain"/>
    <n v="41"/>
    <x v="1"/>
    <s v="UPI"/>
    <n v="5"/>
    <s v="Redmi 9"/>
  </r>
  <r>
    <n v="3154"/>
    <n v="25"/>
    <n v="3"/>
    <n v="2024"/>
    <s v="Monday"/>
    <x v="3"/>
    <n v="6"/>
    <n v="42315"/>
    <s v="Deepika Desai"/>
    <n v="53"/>
    <x v="12"/>
    <s v="UPI"/>
    <n v="5"/>
    <s v="Galaxy S21"/>
  </r>
  <r>
    <n v="3155"/>
    <n v="26"/>
    <n v="3"/>
    <n v="2024"/>
    <s v="Tuesday"/>
    <x v="0"/>
    <n v="4"/>
    <n v="25026.6"/>
    <s v="Devendra Arora"/>
    <n v="40"/>
    <x v="14"/>
    <s v="UPI"/>
    <n v="5"/>
    <s v="Mi 11"/>
  </r>
  <r>
    <n v="3156"/>
    <n v="26"/>
    <n v="3"/>
    <n v="2024"/>
    <s v="Tuesday"/>
    <x v="0"/>
    <n v="3"/>
    <n v="63463.31"/>
    <s v="Devendra Rao"/>
    <n v="25"/>
    <x v="2"/>
    <s v="UPI"/>
    <n v="4"/>
    <s v="Redmi Note 10"/>
  </r>
  <r>
    <n v="3157"/>
    <n v="26"/>
    <n v="3"/>
    <n v="2024"/>
    <s v="Tuesday"/>
    <x v="4"/>
    <n v="2"/>
    <n v="29985.13"/>
    <s v="Arun Dutta"/>
    <n v="21"/>
    <x v="10"/>
    <s v="Debit Card"/>
    <n v="5"/>
    <s v="iPhone 12"/>
  </r>
  <r>
    <n v="3158"/>
    <n v="27"/>
    <n v="3"/>
    <n v="2024"/>
    <s v="Wednesday"/>
    <x v="2"/>
    <n v="6"/>
    <n v="18851.43"/>
    <s v="Bhavana Siddiqui"/>
    <n v="56"/>
    <x v="2"/>
    <s v="UPI"/>
    <n v="4"/>
    <s v="OnePlus Nord"/>
  </r>
  <r>
    <n v="3159"/>
    <n v="27"/>
    <n v="3"/>
    <n v="2024"/>
    <s v="Wednesday"/>
    <x v="3"/>
    <n v="8"/>
    <n v="15793.03"/>
    <s v="Aditya Patel"/>
    <n v="48"/>
    <x v="1"/>
    <s v="Cash"/>
    <n v="1"/>
    <s v="Galaxy S21"/>
  </r>
  <r>
    <n v="3160"/>
    <n v="27"/>
    <n v="3"/>
    <n v="2024"/>
    <s v="Wednesday"/>
    <x v="4"/>
    <n v="6"/>
    <n v="10805.37"/>
    <s v="Monika Rathod"/>
    <n v="46"/>
    <x v="13"/>
    <s v="Credit Card"/>
    <n v="3"/>
    <s v="iPhone 11"/>
  </r>
  <r>
    <n v="3161"/>
    <n v="28"/>
    <n v="3"/>
    <n v="2024"/>
    <s v="Thursday"/>
    <x v="0"/>
    <n v="9"/>
    <n v="35371.360000000001"/>
    <s v="Nikhil Bhatnagar"/>
    <n v="53"/>
    <x v="3"/>
    <s v="UPI"/>
    <n v="3"/>
    <s v="Redmi 9"/>
  </r>
  <r>
    <n v="3162"/>
    <n v="28"/>
    <n v="3"/>
    <n v="2024"/>
    <s v="Thursday"/>
    <x v="0"/>
    <n v="5"/>
    <n v="21256.66"/>
    <s v="Sneha Kaur"/>
    <n v="30"/>
    <x v="3"/>
    <s v="Cash"/>
    <n v="3"/>
    <s v="Mi 11"/>
  </r>
  <r>
    <n v="3163"/>
    <n v="28"/>
    <n v="3"/>
    <n v="2024"/>
    <s v="Thursday"/>
    <x v="2"/>
    <n v="2"/>
    <n v="11298.87"/>
    <s v="Umesh Dutta"/>
    <n v="58"/>
    <x v="1"/>
    <s v="Credit Card"/>
    <n v="4"/>
    <s v="OnePlus 9"/>
  </r>
  <r>
    <n v="3164"/>
    <n v="28"/>
    <n v="3"/>
    <n v="2024"/>
    <s v="Thursday"/>
    <x v="3"/>
    <n v="8"/>
    <n v="41201.17"/>
    <s v="Arun Iyer"/>
    <n v="26"/>
    <x v="8"/>
    <s v="Cash"/>
    <n v="2"/>
    <s v="Galaxy A51"/>
  </r>
  <r>
    <n v="3165"/>
    <n v="29"/>
    <n v="3"/>
    <n v="2024"/>
    <s v="Friday"/>
    <x v="3"/>
    <n v="9"/>
    <n v="50798.71"/>
    <s v="Anand Chatterjee"/>
    <n v="38"/>
    <x v="8"/>
    <s v="Debit Card"/>
    <n v="2"/>
    <s v="Galaxy Note 20"/>
  </r>
  <r>
    <n v="3166"/>
    <n v="29"/>
    <n v="3"/>
    <n v="2024"/>
    <s v="Friday"/>
    <x v="1"/>
    <n v="4"/>
    <n v="15145.06"/>
    <s v="Kiran Solanki"/>
    <n v="20"/>
    <x v="1"/>
    <s v="Debit Card"/>
    <n v="1"/>
    <s v="Vivo Y51"/>
  </r>
  <r>
    <n v="3167"/>
    <n v="29"/>
    <n v="3"/>
    <n v="2024"/>
    <s v="Friday"/>
    <x v="3"/>
    <n v="6"/>
    <n v="37655.25"/>
    <s v="Ramesh Chatterjee"/>
    <n v="42"/>
    <x v="5"/>
    <s v="Credit Card"/>
    <n v="2"/>
    <s v="Galaxy S21"/>
  </r>
  <r>
    <n v="3168"/>
    <n v="29"/>
    <n v="3"/>
    <n v="2024"/>
    <s v="Friday"/>
    <x v="2"/>
    <n v="8"/>
    <n v="54617.72"/>
    <s v="Lalita Desai"/>
    <n v="42"/>
    <x v="18"/>
    <s v="Credit Card"/>
    <n v="1"/>
    <s v="OnePlus 8T"/>
  </r>
  <r>
    <n v="3169"/>
    <n v="30"/>
    <n v="3"/>
    <n v="2024"/>
    <s v="Saturday"/>
    <x v="1"/>
    <n v="9"/>
    <n v="69148.41"/>
    <s v="Kiran Malhotra"/>
    <n v="29"/>
    <x v="1"/>
    <s v="Credit Card"/>
    <n v="5"/>
    <s v="Vivo V20"/>
  </r>
  <r>
    <n v="3170"/>
    <n v="30"/>
    <n v="3"/>
    <n v="2024"/>
    <s v="Saturday"/>
    <x v="1"/>
    <n v="5"/>
    <n v="50031.42"/>
    <s v="Bhavana Rawat"/>
    <n v="46"/>
    <x v="4"/>
    <s v="Debit Card"/>
    <n v="3"/>
    <s v="Vivo V20"/>
  </r>
  <r>
    <n v="3171"/>
    <n v="30"/>
    <n v="3"/>
    <n v="2024"/>
    <s v="Saturday"/>
    <x v="0"/>
    <n v="6"/>
    <n v="24690.37"/>
    <s v="Nikhil Bhattacharya"/>
    <n v="28"/>
    <x v="2"/>
    <s v="Debit Card"/>
    <n v="4"/>
    <s v="Redmi Note 10"/>
  </r>
  <r>
    <n v="3172"/>
    <n v="31"/>
    <n v="3"/>
    <n v="2024"/>
    <s v="Sunday"/>
    <x v="0"/>
    <n v="4"/>
    <n v="52993.22"/>
    <s v="Pooja Sharma"/>
    <n v="28"/>
    <x v="1"/>
    <s v="Cash"/>
    <n v="1"/>
    <s v="Redmi Note 10"/>
  </r>
  <r>
    <n v="3173"/>
    <n v="31"/>
    <n v="3"/>
    <n v="2024"/>
    <s v="Sunday"/>
    <x v="3"/>
    <n v="5"/>
    <n v="45875.77"/>
    <s v="Manoj Jain"/>
    <n v="43"/>
    <x v="1"/>
    <s v="Debit Card"/>
    <n v="4"/>
    <s v="Galaxy A51"/>
  </r>
  <r>
    <n v="3174"/>
    <n v="31"/>
    <n v="3"/>
    <n v="2024"/>
    <s v="Sunday"/>
    <x v="1"/>
    <n v="7"/>
    <n v="22707.96"/>
    <s v="Aditya Nair"/>
    <n v="31"/>
    <x v="5"/>
    <s v="Credit Card"/>
    <n v="4"/>
    <s v="Vivo Y51"/>
  </r>
  <r>
    <n v="3175"/>
    <n v="1"/>
    <n v="4"/>
    <n v="2024"/>
    <s v="Monday"/>
    <x v="0"/>
    <n v="9"/>
    <n v="61066.65"/>
    <s v="Jyoti Ghosh"/>
    <n v="33"/>
    <x v="6"/>
    <s v="UPI"/>
    <n v="3"/>
    <s v="Mi 11"/>
  </r>
  <r>
    <n v="3176"/>
    <n v="1"/>
    <n v="4"/>
    <n v="2024"/>
    <s v="Monday"/>
    <x v="2"/>
    <n v="6"/>
    <n v="35644.269999999997"/>
    <s v="Namita Mehta"/>
    <n v="27"/>
    <x v="12"/>
    <s v="UPI"/>
    <n v="5"/>
    <s v="OnePlus Nord"/>
  </r>
  <r>
    <n v="3177"/>
    <n v="1"/>
    <n v="4"/>
    <n v="2024"/>
    <s v="Monday"/>
    <x v="0"/>
    <n v="6"/>
    <n v="67718.66"/>
    <s v="Reena Deshmukh"/>
    <n v="48"/>
    <x v="1"/>
    <s v="Credit Card"/>
    <n v="5"/>
    <s v="Redmi Note 10"/>
  </r>
  <r>
    <n v="3178"/>
    <n v="1"/>
    <n v="4"/>
    <n v="2024"/>
    <s v="Monday"/>
    <x v="0"/>
    <n v="8"/>
    <n v="53374.06"/>
    <s v="Tanuja Dutta"/>
    <n v="48"/>
    <x v="1"/>
    <s v="Debit Card"/>
    <n v="2"/>
    <s v="Redmi Note 10"/>
  </r>
  <r>
    <n v="3179"/>
    <n v="2"/>
    <n v="4"/>
    <n v="2024"/>
    <s v="Tuesday"/>
    <x v="1"/>
    <n v="4"/>
    <n v="48673.79"/>
    <s v="Neeta Patel"/>
    <n v="53"/>
    <x v="2"/>
    <s v="Credit Card"/>
    <n v="5"/>
    <s v="Vivo V20"/>
  </r>
  <r>
    <n v="3180"/>
    <n v="2"/>
    <n v="4"/>
    <n v="2024"/>
    <s v="Tuesday"/>
    <x v="1"/>
    <n v="3"/>
    <n v="53701.17"/>
    <s v="Mala Kulkarni"/>
    <n v="27"/>
    <x v="5"/>
    <s v="Debit Card"/>
    <n v="3"/>
    <s v="Vivo V20"/>
  </r>
  <r>
    <n v="3181"/>
    <n v="2"/>
    <n v="4"/>
    <n v="2024"/>
    <s v="Tuesday"/>
    <x v="4"/>
    <n v="7"/>
    <n v="38685.82"/>
    <s v="Vinod Dutta"/>
    <n v="43"/>
    <x v="0"/>
    <s v="UPI"/>
    <n v="4"/>
    <s v="iPhone SE"/>
  </r>
  <r>
    <n v="3182"/>
    <n v="2"/>
    <n v="4"/>
    <n v="2024"/>
    <s v="Tuesday"/>
    <x v="2"/>
    <n v="5"/>
    <n v="40313.589999999997"/>
    <s v="Umesh Patel"/>
    <n v="37"/>
    <x v="11"/>
    <s v="Cash"/>
    <n v="1"/>
    <s v="OnePlus 8T"/>
  </r>
  <r>
    <n v="3183"/>
    <n v="3"/>
    <n v="4"/>
    <n v="2024"/>
    <s v="Wednesday"/>
    <x v="1"/>
    <n v="2"/>
    <n v="61072.44"/>
    <s v="Pooja Menon"/>
    <n v="26"/>
    <x v="3"/>
    <s v="Debit Card"/>
    <n v="1"/>
    <s v="Vivo V20"/>
  </r>
  <r>
    <n v="3184"/>
    <n v="3"/>
    <n v="4"/>
    <n v="2024"/>
    <s v="Wednesday"/>
    <x v="3"/>
    <n v="2"/>
    <n v="50855.71"/>
    <s v="Sumit Goyal"/>
    <n v="32"/>
    <x v="14"/>
    <s v="Cash"/>
    <n v="5"/>
    <s v="Galaxy S21"/>
  </r>
  <r>
    <n v="3185"/>
    <n v="3"/>
    <n v="4"/>
    <n v="2024"/>
    <s v="Wednesday"/>
    <x v="2"/>
    <n v="6"/>
    <n v="63834.6"/>
    <s v="Nikhil Menon"/>
    <n v="26"/>
    <x v="1"/>
    <s v="UPI"/>
    <n v="2"/>
    <s v="OnePlus 9"/>
  </r>
  <r>
    <n v="3186"/>
    <n v="4"/>
    <n v="4"/>
    <n v="2024"/>
    <s v="Thursday"/>
    <x v="2"/>
    <n v="8"/>
    <n v="63449.61"/>
    <s v="Sumit Goyal"/>
    <n v="24"/>
    <x v="9"/>
    <s v="Cash"/>
    <n v="1"/>
    <s v="OnePlus 8T"/>
  </r>
  <r>
    <n v="3187"/>
    <n v="4"/>
    <n v="4"/>
    <n v="2024"/>
    <s v="Thursday"/>
    <x v="1"/>
    <n v="1"/>
    <n v="68589.399999999994"/>
    <s v="Aditya Alva"/>
    <n v="43"/>
    <x v="1"/>
    <s v="Cash"/>
    <n v="2"/>
    <s v="Vivo Y51"/>
  </r>
  <r>
    <n v="3188"/>
    <n v="4"/>
    <n v="4"/>
    <n v="2024"/>
    <s v="Thursday"/>
    <x v="2"/>
    <n v="6"/>
    <n v="52012.88"/>
    <s v="Bhavana Malhotra"/>
    <n v="41"/>
    <x v="9"/>
    <s v="Credit Card"/>
    <n v="1"/>
    <s v="OnePlus Nord"/>
  </r>
  <r>
    <n v="3189"/>
    <n v="5"/>
    <n v="4"/>
    <n v="2024"/>
    <s v="Friday"/>
    <x v="1"/>
    <n v="2"/>
    <n v="40138.1"/>
    <s v="Kavita Kapoor"/>
    <n v="29"/>
    <x v="2"/>
    <s v="Cash"/>
    <n v="2"/>
    <s v="Vivo Y51"/>
  </r>
  <r>
    <n v="3190"/>
    <n v="5"/>
    <n v="4"/>
    <n v="2024"/>
    <s v="Friday"/>
    <x v="0"/>
    <n v="2"/>
    <n v="19978.7"/>
    <s v="Arun Kaur"/>
    <n v="37"/>
    <x v="2"/>
    <s v="UPI"/>
    <n v="2"/>
    <s v="Mi 11"/>
  </r>
  <r>
    <n v="3191"/>
    <n v="5"/>
    <n v="4"/>
    <n v="2024"/>
    <s v="Friday"/>
    <x v="4"/>
    <n v="7"/>
    <n v="52322.83"/>
    <s v="Pooja Goyal"/>
    <n v="31"/>
    <x v="18"/>
    <s v="Debit Card"/>
    <n v="4"/>
    <s v="iPhone 12"/>
  </r>
  <r>
    <n v="3192"/>
    <n v="5"/>
    <n v="4"/>
    <n v="2024"/>
    <s v="Friday"/>
    <x v="0"/>
    <n v="1"/>
    <n v="27494.66"/>
    <s v="Anita Varma"/>
    <n v="39"/>
    <x v="2"/>
    <s v="Cash"/>
    <n v="3"/>
    <s v="Mi 11"/>
  </r>
  <r>
    <n v="3193"/>
    <n v="6"/>
    <n v="4"/>
    <n v="2024"/>
    <s v="Saturday"/>
    <x v="1"/>
    <n v="6"/>
    <n v="26976.85"/>
    <s v="Shruti Thakur"/>
    <n v="33"/>
    <x v="2"/>
    <s v="Debit Card"/>
    <n v="1"/>
    <s v="Vivo V20"/>
  </r>
  <r>
    <n v="3194"/>
    <n v="6"/>
    <n v="4"/>
    <n v="2024"/>
    <s v="Saturday"/>
    <x v="1"/>
    <n v="7"/>
    <n v="24297.27"/>
    <s v="Lalita Desai"/>
    <n v="46"/>
    <x v="6"/>
    <s v="Credit Card"/>
    <n v="5"/>
    <s v="Vivo S1"/>
  </r>
  <r>
    <n v="3195"/>
    <n v="6"/>
    <n v="4"/>
    <n v="2024"/>
    <s v="Saturday"/>
    <x v="0"/>
    <n v="8"/>
    <n v="62507.32"/>
    <s v="Sunil Kumar"/>
    <n v="49"/>
    <x v="4"/>
    <s v="UPI"/>
    <n v="3"/>
    <s v="Redmi Note 10"/>
  </r>
  <r>
    <n v="3196"/>
    <n v="7"/>
    <n v="4"/>
    <n v="2024"/>
    <s v="Sunday"/>
    <x v="3"/>
    <n v="7"/>
    <n v="62077.87"/>
    <s v="Navin Mathur"/>
    <n v="36"/>
    <x v="2"/>
    <s v="UPI"/>
    <n v="4"/>
    <s v="Galaxy A51"/>
  </r>
  <r>
    <n v="3197"/>
    <n v="7"/>
    <n v="4"/>
    <n v="2024"/>
    <s v="Sunday"/>
    <x v="3"/>
    <n v="6"/>
    <n v="47858.23"/>
    <s v="Ramesh Solanki"/>
    <n v="52"/>
    <x v="2"/>
    <s v="Debit Card"/>
    <n v="4"/>
    <s v="Galaxy Note 20"/>
  </r>
  <r>
    <n v="3198"/>
    <n v="7"/>
    <n v="4"/>
    <n v="2024"/>
    <s v="Sunday"/>
    <x v="3"/>
    <n v="9"/>
    <n v="38378.86"/>
    <s v="Vivek Luthra"/>
    <n v="49"/>
    <x v="7"/>
    <s v="UPI"/>
    <n v="4"/>
    <s v="Galaxy A51"/>
  </r>
  <r>
    <n v="3199"/>
    <n v="8"/>
    <n v="4"/>
    <n v="2024"/>
    <s v="Monday"/>
    <x v="1"/>
    <n v="3"/>
    <n v="50326.87"/>
    <s v="Navin Pathak"/>
    <n v="37"/>
    <x v="8"/>
    <s v="Credit Card"/>
    <n v="5"/>
    <s v="Vivo V20"/>
  </r>
  <r>
    <n v="3200"/>
    <n v="8"/>
    <n v="4"/>
    <n v="2024"/>
    <s v="Monday"/>
    <x v="2"/>
    <n v="6"/>
    <n v="46433.77"/>
    <s v="Rajesh Siddiqui"/>
    <n v="57"/>
    <x v="0"/>
    <s v="Debit Card"/>
    <n v="1"/>
    <s v="OnePlus 8T"/>
  </r>
  <r>
    <n v="3201"/>
    <n v="8"/>
    <n v="4"/>
    <n v="2024"/>
    <s v="Monday"/>
    <x v="1"/>
    <n v="4"/>
    <n v="34944.050000000003"/>
    <s v="Rajesh Kulkarni"/>
    <n v="37"/>
    <x v="1"/>
    <s v="UPI"/>
    <n v="1"/>
    <s v="Vivo Y51"/>
  </r>
  <r>
    <n v="3202"/>
    <n v="9"/>
    <n v="4"/>
    <n v="2024"/>
    <s v="Tuesday"/>
    <x v="2"/>
    <n v="2"/>
    <n v="32777.85"/>
    <s v="Pankaj Jain"/>
    <n v="25"/>
    <x v="1"/>
    <s v="Credit Card"/>
    <n v="2"/>
    <s v="OnePlus 9"/>
  </r>
  <r>
    <n v="3203"/>
    <n v="9"/>
    <n v="4"/>
    <n v="2024"/>
    <s v="Tuesday"/>
    <x v="0"/>
    <n v="1"/>
    <n v="32967.660000000003"/>
    <s v="Manoj Mehta"/>
    <n v="52"/>
    <x v="1"/>
    <s v="Credit Card"/>
    <n v="2"/>
    <s v="Mi 11"/>
  </r>
  <r>
    <n v="3204"/>
    <n v="9"/>
    <n v="4"/>
    <n v="2024"/>
    <s v="Tuesday"/>
    <x v="4"/>
    <n v="1"/>
    <n v="45348"/>
    <s v="Namita Roy"/>
    <n v="59"/>
    <x v="16"/>
    <s v="Cash"/>
    <n v="2"/>
    <s v="iPhone 12"/>
  </r>
  <r>
    <n v="3205"/>
    <n v="9"/>
    <n v="4"/>
    <n v="2024"/>
    <s v="Tuesday"/>
    <x v="2"/>
    <n v="3"/>
    <n v="48860.160000000003"/>
    <s v="Sumit Nambiar"/>
    <n v="30"/>
    <x v="1"/>
    <s v="UPI"/>
    <n v="5"/>
    <s v="OnePlus Nord"/>
  </r>
  <r>
    <n v="3206"/>
    <n v="10"/>
    <n v="4"/>
    <n v="2024"/>
    <s v="Wednesday"/>
    <x v="3"/>
    <n v="4"/>
    <n v="37104.51"/>
    <s v="Radha Pathak"/>
    <n v="58"/>
    <x v="1"/>
    <s v="Debit Card"/>
    <n v="3"/>
    <s v="Galaxy A51"/>
  </r>
  <r>
    <n v="3207"/>
    <n v="10"/>
    <n v="4"/>
    <n v="2024"/>
    <s v="Wednesday"/>
    <x v="1"/>
    <n v="2"/>
    <n v="68121.490000000005"/>
    <s v="Krishna Jain"/>
    <n v="23"/>
    <x v="1"/>
    <s v="Cash"/>
    <n v="1"/>
    <s v="Vivo Y51"/>
  </r>
  <r>
    <n v="3208"/>
    <n v="10"/>
    <n v="4"/>
    <n v="2024"/>
    <s v="Wednesday"/>
    <x v="0"/>
    <n v="1"/>
    <n v="15030.74"/>
    <s v="Sachin Sheth"/>
    <n v="33"/>
    <x v="10"/>
    <s v="Debit Card"/>
    <n v="2"/>
    <s v="Redmi Note 10"/>
  </r>
  <r>
    <n v="3209"/>
    <n v="10"/>
    <n v="4"/>
    <n v="2024"/>
    <s v="Wednesday"/>
    <x v="3"/>
    <n v="4"/>
    <n v="30822.82"/>
    <s v="Sumit Malhotra"/>
    <n v="22"/>
    <x v="9"/>
    <s v="Cash"/>
    <n v="5"/>
    <s v="Galaxy S21"/>
  </r>
  <r>
    <n v="3210"/>
    <n v="11"/>
    <n v="4"/>
    <n v="2024"/>
    <s v="Thursday"/>
    <x v="0"/>
    <n v="7"/>
    <n v="35144.480000000003"/>
    <s v="Pankaj Sheth"/>
    <n v="51"/>
    <x v="1"/>
    <s v="Credit Card"/>
    <n v="5"/>
    <s v="Redmi 9"/>
  </r>
  <r>
    <n v="3211"/>
    <n v="11"/>
    <n v="4"/>
    <n v="2024"/>
    <s v="Thursday"/>
    <x v="4"/>
    <n v="6"/>
    <n v="11015.28"/>
    <s v="Deepika Desai"/>
    <n v="23"/>
    <x v="12"/>
    <s v="Cash"/>
    <n v="2"/>
    <s v="iPhone 12"/>
  </r>
  <r>
    <n v="3212"/>
    <n v="11"/>
    <n v="4"/>
    <n v="2024"/>
    <s v="Thursday"/>
    <x v="1"/>
    <n v="6"/>
    <n v="31897.43"/>
    <s v="Lata Chatterjee"/>
    <n v="50"/>
    <x v="11"/>
    <s v="Cash"/>
    <n v="4"/>
    <s v="Vivo Y51"/>
  </r>
  <r>
    <n v="3213"/>
    <n v="11"/>
    <n v="4"/>
    <n v="2024"/>
    <s v="Thursday"/>
    <x v="1"/>
    <n v="9"/>
    <n v="26422.6"/>
    <s v="Meena Menon"/>
    <n v="32"/>
    <x v="15"/>
    <s v="Cash"/>
    <n v="4"/>
    <s v="Vivo Y51"/>
  </r>
  <r>
    <n v="3214"/>
    <n v="12"/>
    <n v="4"/>
    <n v="2024"/>
    <s v="Friday"/>
    <x v="4"/>
    <n v="2"/>
    <n v="40362.18"/>
    <s v="Prashant Verma"/>
    <n v="32"/>
    <x v="1"/>
    <s v="UPI"/>
    <n v="4"/>
    <s v="iPhone SE"/>
  </r>
  <r>
    <n v="3215"/>
    <n v="12"/>
    <n v="4"/>
    <n v="2024"/>
    <s v="Friday"/>
    <x v="1"/>
    <n v="4"/>
    <n v="30184.63"/>
    <s v="Harish Kaur"/>
    <n v="31"/>
    <x v="10"/>
    <s v="Cash"/>
    <n v="2"/>
    <s v="Vivo V20"/>
  </r>
  <r>
    <n v="3216"/>
    <n v="12"/>
    <n v="4"/>
    <n v="2024"/>
    <s v="Friday"/>
    <x v="2"/>
    <n v="5"/>
    <n v="53570.93"/>
    <s v="Nikhil Chaudhary"/>
    <n v="56"/>
    <x v="8"/>
    <s v="Credit Card"/>
    <n v="5"/>
    <s v="OnePlus 8T"/>
  </r>
  <r>
    <n v="3217"/>
    <n v="12"/>
    <n v="4"/>
    <n v="2024"/>
    <s v="Friday"/>
    <x v="0"/>
    <n v="1"/>
    <n v="40595.949999999997"/>
    <s v="Pankaj Roy"/>
    <n v="22"/>
    <x v="16"/>
    <s v="Debit Card"/>
    <n v="5"/>
    <s v="Mi 11"/>
  </r>
  <r>
    <n v="3218"/>
    <n v="13"/>
    <n v="4"/>
    <n v="2024"/>
    <s v="Saturday"/>
    <x v="3"/>
    <n v="8"/>
    <n v="17785.73"/>
    <s v="Priyanka Jain"/>
    <n v="43"/>
    <x v="2"/>
    <s v="UPI"/>
    <n v="1"/>
    <s v="Galaxy Note 20"/>
  </r>
  <r>
    <n v="3219"/>
    <n v="13"/>
    <n v="4"/>
    <n v="2024"/>
    <s v="Saturday"/>
    <x v="4"/>
    <n v="8"/>
    <n v="55003.68"/>
    <s v="Bina Das"/>
    <n v="34"/>
    <x v="2"/>
    <s v="Credit Card"/>
    <n v="4"/>
    <s v="iPhone 12"/>
  </r>
  <r>
    <n v="3220"/>
    <n v="13"/>
    <n v="4"/>
    <n v="2024"/>
    <s v="Saturday"/>
    <x v="2"/>
    <n v="6"/>
    <n v="15953.73"/>
    <s v="Aditya Rao"/>
    <n v="33"/>
    <x v="16"/>
    <s v="UPI"/>
    <n v="2"/>
    <s v="OnePlus Nord"/>
  </r>
  <r>
    <n v="3221"/>
    <n v="13"/>
    <n v="4"/>
    <n v="2024"/>
    <s v="Saturday"/>
    <x v="3"/>
    <n v="5"/>
    <n v="60342.95"/>
    <s v="Pooja Goyal"/>
    <n v="52"/>
    <x v="2"/>
    <s v="Debit Card"/>
    <n v="1"/>
    <s v="Galaxy A51"/>
  </r>
  <r>
    <n v="3222"/>
    <n v="14"/>
    <n v="4"/>
    <n v="2024"/>
    <s v="Sunday"/>
    <x v="3"/>
    <n v="8"/>
    <n v="65885.33"/>
    <s v="Isha Singh"/>
    <n v="55"/>
    <x v="1"/>
    <s v="Debit Card"/>
    <n v="5"/>
    <s v="Galaxy Note 20"/>
  </r>
  <r>
    <n v="3223"/>
    <n v="14"/>
    <n v="4"/>
    <n v="2024"/>
    <s v="Sunday"/>
    <x v="4"/>
    <n v="3"/>
    <n v="29346.720000000001"/>
    <s v="Tapan Ahuja"/>
    <n v="40"/>
    <x v="3"/>
    <s v="Debit Card"/>
    <n v="1"/>
    <s v="iPhone SE"/>
  </r>
  <r>
    <n v="3224"/>
    <n v="14"/>
    <n v="4"/>
    <n v="2024"/>
    <s v="Sunday"/>
    <x v="2"/>
    <n v="3"/>
    <n v="65568.56"/>
    <s v="Ramesh Sharma"/>
    <n v="30"/>
    <x v="9"/>
    <s v="UPI"/>
    <n v="4"/>
    <s v="OnePlus 8T"/>
  </r>
  <r>
    <n v="3225"/>
    <n v="14"/>
    <n v="4"/>
    <n v="2024"/>
    <s v="Sunday"/>
    <x v="3"/>
    <n v="2"/>
    <n v="57580.49"/>
    <s v="Sunil Das"/>
    <n v="50"/>
    <x v="9"/>
    <s v="UPI"/>
    <n v="3"/>
    <s v="Galaxy Note 20"/>
  </r>
  <r>
    <n v="3226"/>
    <n v="15"/>
    <n v="4"/>
    <n v="2024"/>
    <s v="Monday"/>
    <x v="3"/>
    <n v="5"/>
    <n v="65346.14"/>
    <s v="Tanuja Malhotra"/>
    <n v="46"/>
    <x v="18"/>
    <s v="Debit Card"/>
    <n v="4"/>
    <s v="Galaxy S21"/>
  </r>
  <r>
    <n v="3227"/>
    <n v="15"/>
    <n v="4"/>
    <n v="2024"/>
    <s v="Monday"/>
    <x v="2"/>
    <n v="3"/>
    <n v="49976.21"/>
    <s v="Lalita Shah"/>
    <n v="51"/>
    <x v="11"/>
    <s v="Debit Card"/>
    <n v="4"/>
    <s v="OnePlus 8T"/>
  </r>
  <r>
    <n v="3228"/>
    <n v="15"/>
    <n v="4"/>
    <n v="2024"/>
    <s v="Monday"/>
    <x v="1"/>
    <n v="3"/>
    <n v="24138.639999999999"/>
    <s v="Pankaj Verma"/>
    <n v="51"/>
    <x v="5"/>
    <s v="Credit Card"/>
    <n v="2"/>
    <s v="Vivo Y51"/>
  </r>
  <r>
    <n v="3229"/>
    <n v="15"/>
    <n v="4"/>
    <n v="2024"/>
    <s v="Monday"/>
    <x v="3"/>
    <n v="6"/>
    <n v="63671.39"/>
    <s v="Mala Menon"/>
    <n v="44"/>
    <x v="15"/>
    <s v="Debit Card"/>
    <n v="3"/>
    <s v="Galaxy S21"/>
  </r>
  <r>
    <n v="3230"/>
    <n v="16"/>
    <n v="4"/>
    <n v="2024"/>
    <s v="Tuesday"/>
    <x v="0"/>
    <n v="8"/>
    <n v="21055.9"/>
    <s v="Priyanka Sharma"/>
    <n v="32"/>
    <x v="13"/>
    <s v="Cash"/>
    <n v="3"/>
    <s v="Redmi Note 10"/>
  </r>
  <r>
    <n v="3231"/>
    <n v="16"/>
    <n v="4"/>
    <n v="2024"/>
    <s v="Tuesday"/>
    <x v="2"/>
    <n v="2"/>
    <n v="22783.63"/>
    <s v="Deepika Gupta"/>
    <n v="26"/>
    <x v="13"/>
    <s v="UPI"/>
    <n v="3"/>
    <s v="OnePlus Nord"/>
  </r>
  <r>
    <n v="3232"/>
    <n v="16"/>
    <n v="4"/>
    <n v="2024"/>
    <s v="Tuesday"/>
    <x v="3"/>
    <n v="4"/>
    <n v="26263.78"/>
    <s v="Radha Mathur"/>
    <n v="43"/>
    <x v="2"/>
    <s v="Credit Card"/>
    <n v="5"/>
    <s v="Galaxy S21"/>
  </r>
  <r>
    <n v="3233"/>
    <n v="17"/>
    <n v="4"/>
    <n v="2024"/>
    <s v="Wednesday"/>
    <x v="4"/>
    <n v="7"/>
    <n v="28254.78"/>
    <s v="Lalita Rathod"/>
    <n v="20"/>
    <x v="6"/>
    <s v="UPI"/>
    <n v="1"/>
    <s v="iPhone 11"/>
  </r>
  <r>
    <n v="3234"/>
    <n v="17"/>
    <n v="4"/>
    <n v="2024"/>
    <s v="Wednesday"/>
    <x v="0"/>
    <n v="1"/>
    <n v="40868.78"/>
    <s v="Prashant Mishra"/>
    <n v="53"/>
    <x v="0"/>
    <s v="Debit Card"/>
    <n v="5"/>
    <s v="Redmi Note 10"/>
  </r>
  <r>
    <n v="3235"/>
    <n v="17"/>
    <n v="4"/>
    <n v="2024"/>
    <s v="Wednesday"/>
    <x v="3"/>
    <n v="1"/>
    <n v="52807.44"/>
    <s v="Ravi Teja"/>
    <n v="22"/>
    <x v="2"/>
    <s v="Cash"/>
    <n v="3"/>
    <s v="Galaxy S21"/>
  </r>
  <r>
    <n v="3236"/>
    <n v="18"/>
    <n v="4"/>
    <n v="2024"/>
    <s v="Thursday"/>
    <x v="0"/>
    <n v="7"/>
    <n v="65572.490000000005"/>
    <s v="Ravi Teja"/>
    <n v="37"/>
    <x v="10"/>
    <s v="Debit Card"/>
    <n v="2"/>
    <s v="Redmi 9"/>
  </r>
  <r>
    <n v="3237"/>
    <n v="18"/>
    <n v="4"/>
    <n v="2024"/>
    <s v="Thursday"/>
    <x v="0"/>
    <n v="7"/>
    <n v="15306.26"/>
    <s v="Kavita Singh"/>
    <n v="37"/>
    <x v="8"/>
    <s v="UPI"/>
    <n v="4"/>
    <s v="Redmi Note 10"/>
  </r>
  <r>
    <n v="3238"/>
    <n v="18"/>
    <n v="4"/>
    <n v="2024"/>
    <s v="Thursday"/>
    <x v="1"/>
    <n v="1"/>
    <n v="67262.16"/>
    <s v="Vinod Kulkarni"/>
    <n v="22"/>
    <x v="18"/>
    <s v="Credit Card"/>
    <n v="4"/>
    <s v="Vivo Y51"/>
  </r>
  <r>
    <n v="3239"/>
    <n v="19"/>
    <n v="4"/>
    <n v="2024"/>
    <s v="Friday"/>
    <x v="0"/>
    <n v="1"/>
    <n v="65279.38"/>
    <s v="Ayesha Ahuja"/>
    <n v="27"/>
    <x v="6"/>
    <s v="UPI"/>
    <n v="5"/>
    <s v="Mi 11"/>
  </r>
  <r>
    <n v="3240"/>
    <n v="19"/>
    <n v="4"/>
    <n v="2024"/>
    <s v="Friday"/>
    <x v="1"/>
    <n v="4"/>
    <n v="13239.96"/>
    <s v="Jyoti Kumar"/>
    <n v="33"/>
    <x v="7"/>
    <s v="Credit Card"/>
    <n v="5"/>
    <s v="Vivo Y51"/>
  </r>
  <r>
    <n v="3241"/>
    <n v="19"/>
    <n v="4"/>
    <n v="2024"/>
    <s v="Friday"/>
    <x v="2"/>
    <n v="5"/>
    <n v="31619.27"/>
    <s v="Manoj Dutta"/>
    <n v="42"/>
    <x v="12"/>
    <s v="Cash"/>
    <n v="2"/>
    <s v="OnePlus 9"/>
  </r>
  <r>
    <n v="3242"/>
    <n v="20"/>
    <n v="4"/>
    <n v="2024"/>
    <s v="Saturday"/>
    <x v="1"/>
    <n v="5"/>
    <n v="58788.6"/>
    <s v="Namita Gupta"/>
    <n v="42"/>
    <x v="1"/>
    <s v="Debit Card"/>
    <n v="4"/>
    <s v="Vivo V20"/>
  </r>
  <r>
    <n v="3243"/>
    <n v="20"/>
    <n v="4"/>
    <n v="2024"/>
    <s v="Saturday"/>
    <x v="4"/>
    <n v="4"/>
    <n v="46694.59"/>
    <s v="Nikhil Solanki"/>
    <n v="47"/>
    <x v="7"/>
    <s v="Debit Card"/>
    <n v="5"/>
    <s v="iPhone 11"/>
  </r>
  <r>
    <n v="3244"/>
    <n v="20"/>
    <n v="4"/>
    <n v="2024"/>
    <s v="Saturday"/>
    <x v="3"/>
    <n v="8"/>
    <n v="56745.64"/>
    <s v="Pooja Solanki"/>
    <n v="31"/>
    <x v="8"/>
    <s v="Cash"/>
    <n v="1"/>
    <s v="Galaxy S21"/>
  </r>
  <r>
    <n v="3245"/>
    <n v="21"/>
    <n v="4"/>
    <n v="2024"/>
    <s v="Sunday"/>
    <x v="2"/>
    <n v="7"/>
    <n v="53142"/>
    <s v="Sumit Sheth"/>
    <n v="39"/>
    <x v="0"/>
    <s v="UPI"/>
    <n v="5"/>
    <s v="OnePlus Nord"/>
  </r>
  <r>
    <n v="3246"/>
    <n v="21"/>
    <n v="4"/>
    <n v="2024"/>
    <s v="Sunday"/>
    <x v="2"/>
    <n v="9"/>
    <n v="39806.21"/>
    <s v="Krishna Bhattacharya"/>
    <n v="45"/>
    <x v="2"/>
    <s v="Cash"/>
    <n v="5"/>
    <s v="OnePlus Nord"/>
  </r>
  <r>
    <n v="3247"/>
    <n v="21"/>
    <n v="4"/>
    <n v="2024"/>
    <s v="Sunday"/>
    <x v="4"/>
    <n v="7"/>
    <n v="12473.08"/>
    <s v="Ayesha Bhattacharya"/>
    <n v="47"/>
    <x v="2"/>
    <s v="Debit Card"/>
    <n v="3"/>
    <s v="iPhone SE"/>
  </r>
  <r>
    <n v="3248"/>
    <n v="22"/>
    <n v="4"/>
    <n v="2024"/>
    <s v="Monday"/>
    <x v="1"/>
    <n v="1"/>
    <n v="45056.09"/>
    <s v="Vivek Mishra"/>
    <n v="36"/>
    <x v="0"/>
    <s v="Credit Card"/>
    <n v="1"/>
    <s v="Vivo S1"/>
  </r>
  <r>
    <n v="3249"/>
    <n v="22"/>
    <n v="4"/>
    <n v="2024"/>
    <s v="Monday"/>
    <x v="3"/>
    <n v="7"/>
    <n v="12914"/>
    <s v="Priya Ahuja"/>
    <n v="55"/>
    <x v="1"/>
    <s v="Debit Card"/>
    <n v="1"/>
    <s v="Galaxy Note 20"/>
  </r>
  <r>
    <n v="3250"/>
    <n v="22"/>
    <n v="4"/>
    <n v="2024"/>
    <s v="Monday"/>
    <x v="1"/>
    <n v="1"/>
    <n v="46223.6"/>
    <s v="Vijay Rao"/>
    <n v="59"/>
    <x v="2"/>
    <s v="UPI"/>
    <n v="2"/>
    <s v="Vivo V20"/>
  </r>
  <r>
    <n v="3251"/>
    <n v="23"/>
    <n v="4"/>
    <n v="2024"/>
    <s v="Tuesday"/>
    <x v="0"/>
    <n v="7"/>
    <n v="58024.65"/>
    <s v="Priya Ahuja"/>
    <n v="37"/>
    <x v="14"/>
    <s v="Credit Card"/>
    <n v="3"/>
    <s v="Redmi 9"/>
  </r>
  <r>
    <n v="3252"/>
    <n v="23"/>
    <n v="4"/>
    <n v="2024"/>
    <s v="Tuesday"/>
    <x v="1"/>
    <n v="8"/>
    <n v="45099.5"/>
    <s v="Lata Rawat"/>
    <n v="52"/>
    <x v="8"/>
    <s v="UPI"/>
    <n v="1"/>
    <s v="Vivo Y51"/>
  </r>
  <r>
    <n v="3253"/>
    <n v="23"/>
    <n v="4"/>
    <n v="2024"/>
    <s v="Tuesday"/>
    <x v="2"/>
    <n v="9"/>
    <n v="69821.31"/>
    <s v="Prashant Verma"/>
    <n v="39"/>
    <x v="3"/>
    <s v="Debit Card"/>
    <n v="3"/>
    <s v="OnePlus Nord"/>
  </r>
  <r>
    <n v="3254"/>
    <n v="23"/>
    <n v="4"/>
    <n v="2024"/>
    <s v="Tuesday"/>
    <x v="3"/>
    <n v="3"/>
    <n v="37351.99"/>
    <s v="Sunil Kapoor"/>
    <n v="32"/>
    <x v="12"/>
    <s v="Debit Card"/>
    <n v="3"/>
    <s v="Galaxy S21"/>
  </r>
  <r>
    <n v="3255"/>
    <n v="24"/>
    <n v="4"/>
    <n v="2024"/>
    <s v="Wednesday"/>
    <x v="1"/>
    <n v="4"/>
    <n v="54929.65"/>
    <s v="Bhavana Varma"/>
    <n v="28"/>
    <x v="9"/>
    <s v="Credit Card"/>
    <n v="4"/>
    <s v="Vivo S1"/>
  </r>
  <r>
    <n v="3256"/>
    <n v="24"/>
    <n v="4"/>
    <n v="2024"/>
    <s v="Wednesday"/>
    <x v="3"/>
    <n v="4"/>
    <n v="50032.800000000003"/>
    <s v="Ramesh Nambiar"/>
    <n v="51"/>
    <x v="2"/>
    <s v="UPI"/>
    <n v="1"/>
    <s v="Galaxy A51"/>
  </r>
  <r>
    <n v="3257"/>
    <n v="24"/>
    <n v="4"/>
    <n v="2024"/>
    <s v="Wednesday"/>
    <x v="3"/>
    <n v="9"/>
    <n v="69485.899999999994"/>
    <s v="Gita Dutta"/>
    <n v="41"/>
    <x v="1"/>
    <s v="Credit Card"/>
    <n v="4"/>
    <s v="Galaxy A51"/>
  </r>
  <r>
    <n v="3258"/>
    <n v="24"/>
    <n v="4"/>
    <n v="2024"/>
    <s v="Wednesday"/>
    <x v="0"/>
    <n v="7"/>
    <n v="52793.14"/>
    <s v="Isha Gupta"/>
    <n v="23"/>
    <x v="18"/>
    <s v="Credit Card"/>
    <n v="5"/>
    <s v="Redmi 9"/>
  </r>
  <r>
    <n v="3259"/>
    <n v="25"/>
    <n v="4"/>
    <n v="2024"/>
    <s v="Thursday"/>
    <x v="0"/>
    <n v="3"/>
    <n v="19841.84"/>
    <s v="Kiran Gupta"/>
    <n v="34"/>
    <x v="1"/>
    <s v="UPI"/>
    <n v="5"/>
    <s v="Redmi Note 10"/>
  </r>
  <r>
    <n v="3260"/>
    <n v="25"/>
    <n v="4"/>
    <n v="2024"/>
    <s v="Thursday"/>
    <x v="2"/>
    <n v="5"/>
    <n v="67331.06"/>
    <s v="Manoj Siddiqui"/>
    <n v="45"/>
    <x v="11"/>
    <s v="Credit Card"/>
    <n v="4"/>
    <s v="OnePlus 8T"/>
  </r>
  <r>
    <n v="3261"/>
    <n v="25"/>
    <n v="4"/>
    <n v="2024"/>
    <s v="Thursday"/>
    <x v="4"/>
    <n v="7"/>
    <n v="50066.63"/>
    <s v="Mala Pathak"/>
    <n v="48"/>
    <x v="2"/>
    <s v="Cash"/>
    <n v="5"/>
    <s v="iPhone SE"/>
  </r>
  <r>
    <n v="3262"/>
    <n v="26"/>
    <n v="4"/>
    <n v="2024"/>
    <s v="Friday"/>
    <x v="3"/>
    <n v="8"/>
    <n v="13560.29"/>
    <s v="Mala Roy"/>
    <n v="53"/>
    <x v="15"/>
    <s v="Credit Card"/>
    <n v="4"/>
    <s v="Galaxy Note 20"/>
  </r>
  <r>
    <n v="3263"/>
    <n v="26"/>
    <n v="4"/>
    <n v="2024"/>
    <s v="Friday"/>
    <x v="4"/>
    <n v="1"/>
    <n v="49454.1"/>
    <s v="Nikhil Menon"/>
    <n v="26"/>
    <x v="3"/>
    <s v="Debit Card"/>
    <n v="2"/>
    <s v="iPhone 12"/>
  </r>
  <r>
    <n v="3264"/>
    <n v="26"/>
    <n v="4"/>
    <n v="2024"/>
    <s v="Friday"/>
    <x v="2"/>
    <n v="2"/>
    <n v="62987.16"/>
    <s v="Meena Mathur"/>
    <n v="27"/>
    <x v="2"/>
    <s v="UPI"/>
    <n v="3"/>
    <s v="OnePlus 9"/>
  </r>
  <r>
    <n v="3265"/>
    <n v="27"/>
    <n v="4"/>
    <n v="2024"/>
    <s v="Saturday"/>
    <x v="3"/>
    <n v="7"/>
    <n v="44622.51"/>
    <s v="Kiran Singh"/>
    <n v="38"/>
    <x v="17"/>
    <s v="Debit Card"/>
    <n v="2"/>
    <s v="Galaxy A51"/>
  </r>
  <r>
    <n v="3266"/>
    <n v="27"/>
    <n v="4"/>
    <n v="2024"/>
    <s v="Saturday"/>
    <x v="3"/>
    <n v="2"/>
    <n v="31241.18"/>
    <s v="Priyanka Menon"/>
    <n v="51"/>
    <x v="6"/>
    <s v="Cash"/>
    <n v="1"/>
    <s v="Galaxy Note 20"/>
  </r>
  <r>
    <n v="3267"/>
    <n v="27"/>
    <n v="4"/>
    <n v="2024"/>
    <s v="Saturday"/>
    <x v="4"/>
    <n v="7"/>
    <n v="59254.58"/>
    <s v="Nikhil Ahuja"/>
    <n v="48"/>
    <x v="1"/>
    <s v="Cash"/>
    <n v="2"/>
    <s v="iPhone SE"/>
  </r>
  <r>
    <n v="3268"/>
    <n v="27"/>
    <n v="4"/>
    <n v="2024"/>
    <s v="Saturday"/>
    <x v="1"/>
    <n v="9"/>
    <n v="56950.720000000001"/>
    <s v="Ayesha Roy"/>
    <n v="46"/>
    <x v="18"/>
    <s v="Credit Card"/>
    <n v="2"/>
    <s v="Vivo V20"/>
  </r>
  <r>
    <n v="3269"/>
    <n v="28"/>
    <n v="4"/>
    <n v="2024"/>
    <s v="Sunday"/>
    <x v="0"/>
    <n v="2"/>
    <n v="42650.93"/>
    <s v="Sunil Dutta"/>
    <n v="28"/>
    <x v="15"/>
    <s v="Debit Card"/>
    <n v="5"/>
    <s v="Redmi 9"/>
  </r>
  <r>
    <n v="3270"/>
    <n v="28"/>
    <n v="4"/>
    <n v="2024"/>
    <s v="Sunday"/>
    <x v="1"/>
    <n v="7"/>
    <n v="19261.71"/>
    <s v="Priya Patel"/>
    <n v="50"/>
    <x v="1"/>
    <s v="Credit Card"/>
    <n v="4"/>
    <s v="Vivo S1"/>
  </r>
  <r>
    <n v="3271"/>
    <n v="28"/>
    <n v="4"/>
    <n v="2024"/>
    <s v="Sunday"/>
    <x v="4"/>
    <n v="4"/>
    <n v="25059.19"/>
    <s v="Anita Malhotra"/>
    <n v="18"/>
    <x v="13"/>
    <s v="Credit Card"/>
    <n v="1"/>
    <s v="iPhone 11"/>
  </r>
  <r>
    <n v="3272"/>
    <n v="29"/>
    <n v="4"/>
    <n v="2024"/>
    <s v="Monday"/>
    <x v="0"/>
    <n v="2"/>
    <n v="54309.04"/>
    <s v="Anita Joshi"/>
    <n v="38"/>
    <x v="5"/>
    <s v="Debit Card"/>
    <n v="5"/>
    <s v="Redmi Note 10"/>
  </r>
  <r>
    <n v="3273"/>
    <n v="29"/>
    <n v="4"/>
    <n v="2024"/>
    <s v="Monday"/>
    <x v="1"/>
    <n v="7"/>
    <n v="58364.93"/>
    <s v="Sunil Dutta"/>
    <n v="40"/>
    <x v="16"/>
    <s v="Cash"/>
    <n v="1"/>
    <s v="Vivo S1"/>
  </r>
  <r>
    <n v="3274"/>
    <n v="29"/>
    <n v="4"/>
    <n v="2024"/>
    <s v="Monday"/>
    <x v="0"/>
    <n v="5"/>
    <n v="26755.919999999998"/>
    <s v="Pankaj Pathak"/>
    <n v="26"/>
    <x v="7"/>
    <s v="Cash"/>
    <n v="3"/>
    <s v="Redmi 9"/>
  </r>
  <r>
    <n v="3275"/>
    <n v="30"/>
    <n v="4"/>
    <n v="2024"/>
    <s v="Tuesday"/>
    <x v="3"/>
    <n v="1"/>
    <n v="32079.1"/>
    <s v="Manoj Jain"/>
    <n v="18"/>
    <x v="9"/>
    <s v="Cash"/>
    <n v="4"/>
    <s v="Galaxy A51"/>
  </r>
  <r>
    <n v="3276"/>
    <n v="30"/>
    <n v="4"/>
    <n v="2024"/>
    <s v="Tuesday"/>
    <x v="1"/>
    <n v="5"/>
    <n v="14657.91"/>
    <s v="Bhavana Rathod"/>
    <n v="38"/>
    <x v="1"/>
    <s v="UPI"/>
    <n v="5"/>
    <s v="Vivo Y51"/>
  </r>
  <r>
    <n v="3277"/>
    <n v="30"/>
    <n v="4"/>
    <n v="2024"/>
    <s v="Tuesday"/>
    <x v="0"/>
    <n v="3"/>
    <n v="52807.72"/>
    <s v="Rajesh Mishra"/>
    <n v="39"/>
    <x v="2"/>
    <s v="UPI"/>
    <n v="2"/>
    <s v="Redmi Note 10"/>
  </r>
  <r>
    <n v="3278"/>
    <n v="30"/>
    <n v="4"/>
    <n v="2024"/>
    <s v="Tuesday"/>
    <x v="0"/>
    <n v="7"/>
    <n v="10214.65"/>
    <s v="Namita Mehta"/>
    <n v="21"/>
    <x v="1"/>
    <s v="Credit Card"/>
    <n v="3"/>
    <s v="Redmi 9"/>
  </r>
  <r>
    <n v="3279"/>
    <n v="1"/>
    <n v="5"/>
    <n v="2024"/>
    <s v="Wednesday"/>
    <x v="0"/>
    <n v="6"/>
    <n v="12792.49"/>
    <s v="Neeta Mathur"/>
    <n v="18"/>
    <x v="2"/>
    <s v="UPI"/>
    <n v="2"/>
    <s v="Redmi 9"/>
  </r>
  <r>
    <n v="3280"/>
    <n v="1"/>
    <n v="5"/>
    <n v="2024"/>
    <s v="Wednesday"/>
    <x v="1"/>
    <n v="8"/>
    <n v="10260.64"/>
    <s v="Rajesh Singh"/>
    <n v="27"/>
    <x v="18"/>
    <s v="UPI"/>
    <n v="1"/>
    <s v="Vivo S1"/>
  </r>
  <r>
    <n v="3281"/>
    <n v="1"/>
    <n v="5"/>
    <n v="2024"/>
    <s v="Wednesday"/>
    <x v="2"/>
    <n v="5"/>
    <n v="48719.18"/>
    <s v="Sunita Das"/>
    <n v="32"/>
    <x v="8"/>
    <s v="Debit Card"/>
    <n v="3"/>
    <s v="OnePlus 9"/>
  </r>
  <r>
    <n v="3282"/>
    <n v="2"/>
    <n v="5"/>
    <n v="2024"/>
    <s v="Thursday"/>
    <x v="1"/>
    <n v="2"/>
    <n v="35043.230000000003"/>
    <s v="Krishna Reddy"/>
    <n v="53"/>
    <x v="2"/>
    <s v="Credit Card"/>
    <n v="5"/>
    <s v="Vivo Y51"/>
  </r>
  <r>
    <n v="3283"/>
    <n v="2"/>
    <n v="5"/>
    <n v="2024"/>
    <s v="Thursday"/>
    <x v="4"/>
    <n v="9"/>
    <n v="27852.81"/>
    <s v="Vijay Siddiqui"/>
    <n v="46"/>
    <x v="1"/>
    <s v="Credit Card"/>
    <n v="2"/>
    <s v="iPhone 11"/>
  </r>
  <r>
    <n v="3284"/>
    <n v="2"/>
    <n v="5"/>
    <n v="2024"/>
    <s v="Thursday"/>
    <x v="1"/>
    <n v="8"/>
    <n v="64762.06"/>
    <s v="Sunita Teja"/>
    <n v="22"/>
    <x v="2"/>
    <s v="Debit Card"/>
    <n v="2"/>
    <s v="Vivo S1"/>
  </r>
  <r>
    <n v="3285"/>
    <n v="2"/>
    <n v="5"/>
    <n v="2024"/>
    <s v="Thursday"/>
    <x v="0"/>
    <n v="6"/>
    <n v="21568.17"/>
    <s v="Devendra Thakur"/>
    <n v="46"/>
    <x v="1"/>
    <s v="Cash"/>
    <n v="1"/>
    <s v="Redmi 9"/>
  </r>
  <r>
    <n v="3286"/>
    <n v="3"/>
    <n v="5"/>
    <n v="2024"/>
    <s v="Friday"/>
    <x v="3"/>
    <n v="7"/>
    <n v="33362.080000000002"/>
    <s v="Namita Siddiqui"/>
    <n v="44"/>
    <x v="8"/>
    <s v="Debit Card"/>
    <n v="1"/>
    <s v="Galaxy Note 20"/>
  </r>
  <r>
    <n v="3287"/>
    <n v="3"/>
    <n v="5"/>
    <n v="2024"/>
    <s v="Friday"/>
    <x v="1"/>
    <n v="9"/>
    <n v="66418.710000000006"/>
    <s v="Kiran Mishra"/>
    <n v="42"/>
    <x v="13"/>
    <s v="Cash"/>
    <n v="4"/>
    <s v="Vivo Y51"/>
  </r>
  <r>
    <n v="3288"/>
    <n v="3"/>
    <n v="5"/>
    <n v="2024"/>
    <s v="Friday"/>
    <x v="1"/>
    <n v="7"/>
    <n v="35626.39"/>
    <s v="Aditya Singh"/>
    <n v="33"/>
    <x v="4"/>
    <s v="Credit Card"/>
    <n v="4"/>
    <s v="Vivo Y51"/>
  </r>
  <r>
    <n v="3289"/>
    <n v="4"/>
    <n v="5"/>
    <n v="2024"/>
    <s v="Saturday"/>
    <x v="0"/>
    <n v="3"/>
    <n v="43281.62"/>
    <s v="Priyanka Joshi"/>
    <n v="33"/>
    <x v="7"/>
    <s v="Credit Card"/>
    <n v="1"/>
    <s v="Redmi 9"/>
  </r>
  <r>
    <n v="3290"/>
    <n v="4"/>
    <n v="5"/>
    <n v="2024"/>
    <s v="Saturday"/>
    <x v="3"/>
    <n v="6"/>
    <n v="14820.21"/>
    <s v="Pankaj Singh"/>
    <n v="53"/>
    <x v="1"/>
    <s v="UPI"/>
    <n v="4"/>
    <s v="Galaxy A51"/>
  </r>
  <r>
    <n v="3291"/>
    <n v="4"/>
    <n v="5"/>
    <n v="2024"/>
    <s v="Saturday"/>
    <x v="3"/>
    <n v="7"/>
    <n v="57409.98"/>
    <s v="Sunita Prasad"/>
    <n v="42"/>
    <x v="11"/>
    <s v="UPI"/>
    <n v="2"/>
    <s v="Galaxy Note 20"/>
  </r>
  <r>
    <n v="3292"/>
    <n v="4"/>
    <n v="5"/>
    <n v="2024"/>
    <s v="Saturday"/>
    <x v="4"/>
    <n v="2"/>
    <n v="35365.53"/>
    <s v="Radha Solanki"/>
    <n v="58"/>
    <x v="13"/>
    <s v="Debit Card"/>
    <n v="1"/>
    <s v="iPhone 11"/>
  </r>
  <r>
    <n v="3293"/>
    <n v="5"/>
    <n v="5"/>
    <n v="2024"/>
    <s v="Sunday"/>
    <x v="1"/>
    <n v="3"/>
    <n v="58030.91"/>
    <s v="Arun Shah"/>
    <n v="18"/>
    <x v="16"/>
    <s v="UPI"/>
    <n v="3"/>
    <s v="Vivo V20"/>
  </r>
  <r>
    <n v="3294"/>
    <n v="5"/>
    <n v="5"/>
    <n v="2024"/>
    <s v="Sunday"/>
    <x v="3"/>
    <n v="4"/>
    <n v="25227.86"/>
    <s v="Reena Bhatnagar"/>
    <n v="22"/>
    <x v="2"/>
    <s v="Credit Card"/>
    <n v="1"/>
    <s v="Galaxy A51"/>
  </r>
  <r>
    <n v="3295"/>
    <n v="5"/>
    <n v="5"/>
    <n v="2024"/>
    <s v="Sunday"/>
    <x v="3"/>
    <n v="6"/>
    <n v="35348.730000000003"/>
    <s v="Lata Chatterjee"/>
    <n v="58"/>
    <x v="2"/>
    <s v="Credit Card"/>
    <n v="5"/>
    <s v="Galaxy S21"/>
  </r>
  <r>
    <n v="3296"/>
    <n v="5"/>
    <n v="5"/>
    <n v="2024"/>
    <s v="Sunday"/>
    <x v="2"/>
    <n v="1"/>
    <n v="57192.94"/>
    <s v="Rohan Sheth"/>
    <n v="37"/>
    <x v="14"/>
    <s v="Cash"/>
    <n v="5"/>
    <s v="OnePlus 8T"/>
  </r>
  <r>
    <n v="3297"/>
    <n v="6"/>
    <n v="5"/>
    <n v="2024"/>
    <s v="Monday"/>
    <x v="2"/>
    <n v="9"/>
    <n v="68432.67"/>
    <s v="Kiran Pathak"/>
    <n v="22"/>
    <x v="2"/>
    <s v="UPI"/>
    <n v="1"/>
    <s v="OnePlus Nord"/>
  </r>
  <r>
    <n v="3298"/>
    <n v="6"/>
    <n v="5"/>
    <n v="2024"/>
    <s v="Monday"/>
    <x v="3"/>
    <n v="5"/>
    <n v="13577.53"/>
    <s v="Amit Pillai"/>
    <n v="53"/>
    <x v="2"/>
    <s v="Cash"/>
    <n v="3"/>
    <s v="Galaxy A51"/>
  </r>
  <r>
    <n v="3299"/>
    <n v="6"/>
    <n v="5"/>
    <n v="2024"/>
    <s v="Monday"/>
    <x v="4"/>
    <n v="7"/>
    <n v="58747.37"/>
    <s v="Lalita Patel"/>
    <n v="46"/>
    <x v="1"/>
    <s v="Credit Card"/>
    <n v="1"/>
    <s v="iPhone 12"/>
  </r>
  <r>
    <n v="3300"/>
    <n v="6"/>
    <n v="5"/>
    <n v="2024"/>
    <s v="Monday"/>
    <x v="3"/>
    <n v="9"/>
    <n v="28041.34"/>
    <s v="Sanjay Patel"/>
    <n v="51"/>
    <x v="1"/>
    <s v="UPI"/>
    <n v="3"/>
    <s v="Galaxy S21"/>
  </r>
  <r>
    <n v="3301"/>
    <n v="7"/>
    <n v="5"/>
    <n v="2024"/>
    <s v="Tuesday"/>
    <x v="0"/>
    <n v="9"/>
    <n v="43044.6"/>
    <s v="Pankaj Patel"/>
    <n v="35"/>
    <x v="1"/>
    <s v="Cash"/>
    <n v="2"/>
    <s v="Redmi Note 10"/>
  </r>
  <r>
    <n v="3302"/>
    <n v="7"/>
    <n v="5"/>
    <n v="2024"/>
    <s v="Tuesday"/>
    <x v="1"/>
    <n v="1"/>
    <n v="27405.54"/>
    <s v="Anjali Nambiar"/>
    <n v="19"/>
    <x v="6"/>
    <s v="Credit Card"/>
    <n v="2"/>
    <s v="Vivo V20"/>
  </r>
  <r>
    <n v="3303"/>
    <n v="7"/>
    <n v="5"/>
    <n v="2024"/>
    <s v="Tuesday"/>
    <x v="4"/>
    <n v="1"/>
    <n v="46806.73"/>
    <s v="Monika Sharma"/>
    <n v="33"/>
    <x v="3"/>
    <s v="Cash"/>
    <n v="3"/>
    <s v="iPhone SE"/>
  </r>
  <r>
    <n v="3304"/>
    <n v="8"/>
    <n v="5"/>
    <n v="2024"/>
    <s v="Wednesday"/>
    <x v="0"/>
    <n v="3"/>
    <n v="31228.17"/>
    <s v="Meena Kaur"/>
    <n v="46"/>
    <x v="10"/>
    <s v="UPI"/>
    <n v="4"/>
    <s v="Mi 11"/>
  </r>
  <r>
    <n v="3305"/>
    <n v="8"/>
    <n v="5"/>
    <n v="2024"/>
    <s v="Wednesday"/>
    <x v="4"/>
    <n v="6"/>
    <n v="30016.89"/>
    <s v="Sachin Rao"/>
    <n v="50"/>
    <x v="4"/>
    <s v="Cash"/>
    <n v="2"/>
    <s v="iPhone 11"/>
  </r>
  <r>
    <n v="3306"/>
    <n v="8"/>
    <n v="5"/>
    <n v="2024"/>
    <s v="Wednesday"/>
    <x v="0"/>
    <n v="2"/>
    <n v="12276.3"/>
    <s v="Sanjay Jain"/>
    <n v="33"/>
    <x v="1"/>
    <s v="Cash"/>
    <n v="5"/>
    <s v="Mi 11"/>
  </r>
  <r>
    <n v="3307"/>
    <n v="8"/>
    <n v="5"/>
    <n v="2024"/>
    <s v="Wednesday"/>
    <x v="1"/>
    <n v="1"/>
    <n v="18817.62"/>
    <s v="Vivek Sharma"/>
    <n v="52"/>
    <x v="4"/>
    <s v="Credit Card"/>
    <n v="1"/>
    <s v="Vivo V20"/>
  </r>
  <r>
    <n v="3308"/>
    <n v="9"/>
    <n v="5"/>
    <n v="2024"/>
    <s v="Thursday"/>
    <x v="1"/>
    <n v="1"/>
    <n v="65024.69"/>
    <s v="Anjali Thakur"/>
    <n v="59"/>
    <x v="10"/>
    <s v="UPI"/>
    <n v="4"/>
    <s v="Vivo Y51"/>
  </r>
  <r>
    <n v="3309"/>
    <n v="9"/>
    <n v="5"/>
    <n v="2024"/>
    <s v="Thursday"/>
    <x v="2"/>
    <n v="5"/>
    <n v="69896.649999999994"/>
    <s v="Bhavana Rawat"/>
    <n v="34"/>
    <x v="1"/>
    <s v="Debit Card"/>
    <n v="5"/>
    <s v="OnePlus 9"/>
  </r>
  <r>
    <n v="3310"/>
    <n v="9"/>
    <n v="5"/>
    <n v="2024"/>
    <s v="Thursday"/>
    <x v="0"/>
    <n v="4"/>
    <n v="56831.23"/>
    <s v="Radha Sharma"/>
    <n v="21"/>
    <x v="18"/>
    <s v="Debit Card"/>
    <n v="1"/>
    <s v="Redmi Note 10"/>
  </r>
  <r>
    <n v="3311"/>
    <n v="10"/>
    <n v="5"/>
    <n v="2024"/>
    <s v="Friday"/>
    <x v="2"/>
    <n v="1"/>
    <n v="27208.76"/>
    <s v="Yogesh Bhattacharya"/>
    <n v="21"/>
    <x v="2"/>
    <s v="Cash"/>
    <n v="5"/>
    <s v="OnePlus 8T"/>
  </r>
  <r>
    <n v="3312"/>
    <n v="10"/>
    <n v="5"/>
    <n v="2024"/>
    <s v="Friday"/>
    <x v="0"/>
    <n v="4"/>
    <n v="34146.71"/>
    <s v="Tapan Siddiqui"/>
    <n v="42"/>
    <x v="0"/>
    <s v="Credit Card"/>
    <n v="4"/>
    <s v="Mi 11"/>
  </r>
  <r>
    <n v="3313"/>
    <n v="10"/>
    <n v="5"/>
    <n v="2024"/>
    <s v="Friday"/>
    <x v="2"/>
    <n v="3"/>
    <n v="54370.21"/>
    <s v="Manoj Ahuja"/>
    <n v="50"/>
    <x v="2"/>
    <s v="UPI"/>
    <n v="3"/>
    <s v="OnePlus 8T"/>
  </r>
  <r>
    <n v="3314"/>
    <n v="11"/>
    <n v="5"/>
    <n v="2024"/>
    <s v="Saturday"/>
    <x v="1"/>
    <n v="2"/>
    <n v="68110.81"/>
    <s v="Namita Goyal"/>
    <n v="31"/>
    <x v="2"/>
    <s v="Credit Card"/>
    <n v="1"/>
    <s v="Vivo S1"/>
  </r>
  <r>
    <n v="3315"/>
    <n v="11"/>
    <n v="5"/>
    <n v="2024"/>
    <s v="Saturday"/>
    <x v="4"/>
    <n v="9"/>
    <n v="37328.269999999997"/>
    <s v="Harish Prasad"/>
    <n v="41"/>
    <x v="17"/>
    <s v="UPI"/>
    <n v="5"/>
    <s v="iPhone 12"/>
  </r>
  <r>
    <n v="3316"/>
    <n v="11"/>
    <n v="5"/>
    <n v="2024"/>
    <s v="Saturday"/>
    <x v="2"/>
    <n v="1"/>
    <n v="59771.34"/>
    <s v="Pankaj Pathak"/>
    <n v="28"/>
    <x v="5"/>
    <s v="Credit Card"/>
    <n v="5"/>
    <s v="OnePlus Nord"/>
  </r>
  <r>
    <n v="3317"/>
    <n v="12"/>
    <n v="5"/>
    <n v="2024"/>
    <s v="Sunday"/>
    <x v="0"/>
    <n v="7"/>
    <n v="68504.14"/>
    <s v="Aditya Roy"/>
    <n v="42"/>
    <x v="1"/>
    <s v="Debit Card"/>
    <n v="4"/>
    <s v="Mi 11"/>
  </r>
  <r>
    <n v="3318"/>
    <n v="12"/>
    <n v="5"/>
    <n v="2024"/>
    <s v="Sunday"/>
    <x v="0"/>
    <n v="4"/>
    <n v="62408.39"/>
    <s v="Vijay Varma"/>
    <n v="45"/>
    <x v="1"/>
    <s v="Debit Card"/>
    <n v="4"/>
    <s v="Redmi 9"/>
  </r>
  <r>
    <n v="3319"/>
    <n v="12"/>
    <n v="5"/>
    <n v="2024"/>
    <s v="Sunday"/>
    <x v="1"/>
    <n v="5"/>
    <n v="23628.98"/>
    <s v="Arun Mehta"/>
    <n v="24"/>
    <x v="3"/>
    <s v="Debit Card"/>
    <n v="4"/>
    <s v="Vivo S1"/>
  </r>
  <r>
    <n v="3320"/>
    <n v="13"/>
    <n v="5"/>
    <n v="2024"/>
    <s v="Monday"/>
    <x v="0"/>
    <n v="5"/>
    <n v="10481.91"/>
    <s v="Tapan Singh"/>
    <n v="53"/>
    <x v="2"/>
    <s v="Credit Card"/>
    <n v="3"/>
    <s v="Mi 11"/>
  </r>
  <r>
    <n v="3321"/>
    <n v="13"/>
    <n v="5"/>
    <n v="2024"/>
    <s v="Monday"/>
    <x v="3"/>
    <n v="1"/>
    <n v="39524.9"/>
    <s v="Sumit Sheth"/>
    <n v="27"/>
    <x v="10"/>
    <s v="Credit Card"/>
    <n v="2"/>
    <s v="Galaxy Note 20"/>
  </r>
  <r>
    <n v="3322"/>
    <n v="13"/>
    <n v="5"/>
    <n v="2024"/>
    <s v="Monday"/>
    <x v="4"/>
    <n v="6"/>
    <n v="41881.65"/>
    <s v="Anita Luthra"/>
    <n v="53"/>
    <x v="4"/>
    <s v="Cash"/>
    <n v="5"/>
    <s v="iPhone 12"/>
  </r>
  <r>
    <n v="3323"/>
    <n v="13"/>
    <n v="5"/>
    <n v="2024"/>
    <s v="Monday"/>
    <x v="2"/>
    <n v="9"/>
    <n v="22075.02"/>
    <s v="Prashant Gupta"/>
    <n v="48"/>
    <x v="10"/>
    <s v="Debit Card"/>
    <n v="3"/>
    <s v="OnePlus 9"/>
  </r>
  <r>
    <n v="3324"/>
    <n v="14"/>
    <n v="5"/>
    <n v="2024"/>
    <s v="Tuesday"/>
    <x v="4"/>
    <n v="2"/>
    <n v="27080.46"/>
    <s v="Amit Ahuja"/>
    <n v="36"/>
    <x v="17"/>
    <s v="Cash"/>
    <n v="5"/>
    <s v="iPhone SE"/>
  </r>
  <r>
    <n v="3325"/>
    <n v="14"/>
    <n v="5"/>
    <n v="2024"/>
    <s v="Tuesday"/>
    <x v="1"/>
    <n v="7"/>
    <n v="55909.19"/>
    <s v="Sanjay Mehta"/>
    <n v="35"/>
    <x v="14"/>
    <s v="Credit Card"/>
    <n v="3"/>
    <s v="Vivo Y51"/>
  </r>
  <r>
    <n v="3326"/>
    <n v="14"/>
    <n v="5"/>
    <n v="2024"/>
    <s v="Tuesday"/>
    <x v="2"/>
    <n v="6"/>
    <n v="38220.839999999997"/>
    <s v="Yogesh Rao"/>
    <n v="23"/>
    <x v="16"/>
    <s v="UPI"/>
    <n v="1"/>
    <s v="OnePlus 9"/>
  </r>
  <r>
    <n v="3327"/>
    <n v="14"/>
    <n v="5"/>
    <n v="2024"/>
    <s v="Tuesday"/>
    <x v="2"/>
    <n v="5"/>
    <n v="29041.25"/>
    <s v="Tanuja Mathur"/>
    <n v="45"/>
    <x v="14"/>
    <s v="Debit Card"/>
    <n v="2"/>
    <s v="OnePlus 9"/>
  </r>
  <r>
    <n v="3328"/>
    <n v="15"/>
    <n v="5"/>
    <n v="2024"/>
    <s v="Wednesday"/>
    <x v="3"/>
    <n v="4"/>
    <n v="47357.56"/>
    <s v="Tapan Kumar"/>
    <n v="24"/>
    <x v="4"/>
    <s v="Debit Card"/>
    <n v="5"/>
    <s v="Galaxy A51"/>
  </r>
  <r>
    <n v="3329"/>
    <n v="15"/>
    <n v="5"/>
    <n v="2024"/>
    <s v="Wednesday"/>
    <x v="1"/>
    <n v="4"/>
    <n v="49165.59"/>
    <s v="Pankaj Sheth"/>
    <n v="55"/>
    <x v="12"/>
    <s v="Debit Card"/>
    <n v="4"/>
    <s v="Vivo S1"/>
  </r>
  <r>
    <n v="3330"/>
    <n v="15"/>
    <n v="5"/>
    <n v="2024"/>
    <s v="Wednesday"/>
    <x v="0"/>
    <n v="6"/>
    <n v="56163.75"/>
    <s v="Umesh Reddy"/>
    <n v="29"/>
    <x v="2"/>
    <s v="Debit Card"/>
    <n v="2"/>
    <s v="Redmi 9"/>
  </r>
  <r>
    <n v="3331"/>
    <n v="16"/>
    <n v="5"/>
    <n v="2024"/>
    <s v="Thursday"/>
    <x v="3"/>
    <n v="4"/>
    <n v="19402.560000000001"/>
    <s v="Radha Kumar"/>
    <n v="58"/>
    <x v="1"/>
    <s v="Debit Card"/>
    <n v="5"/>
    <s v="Galaxy Note 20"/>
  </r>
  <r>
    <n v="3332"/>
    <n v="16"/>
    <n v="5"/>
    <n v="2024"/>
    <s v="Thursday"/>
    <x v="3"/>
    <n v="5"/>
    <n v="54491.040000000001"/>
    <s v="Lata Rathod"/>
    <n v="51"/>
    <x v="12"/>
    <s v="Credit Card"/>
    <n v="1"/>
    <s v="Galaxy S21"/>
  </r>
  <r>
    <n v="3333"/>
    <n v="16"/>
    <n v="5"/>
    <n v="2024"/>
    <s v="Thursday"/>
    <x v="4"/>
    <n v="6"/>
    <n v="45965.7"/>
    <s v="Isha Dutta"/>
    <n v="42"/>
    <x v="15"/>
    <s v="Debit Card"/>
    <n v="5"/>
    <s v="iPhone 12"/>
  </r>
  <r>
    <n v="3334"/>
    <n v="17"/>
    <n v="5"/>
    <n v="2024"/>
    <s v="Friday"/>
    <x v="4"/>
    <n v="5"/>
    <n v="13454.31"/>
    <s v="Arun Mehta"/>
    <n v="34"/>
    <x v="1"/>
    <s v="Debit Card"/>
    <n v="5"/>
    <s v="iPhone 12"/>
  </r>
  <r>
    <n v="3335"/>
    <n v="17"/>
    <n v="5"/>
    <n v="2024"/>
    <s v="Friday"/>
    <x v="4"/>
    <n v="7"/>
    <n v="56646.74"/>
    <s v="Manoj Kulkarni"/>
    <n v="50"/>
    <x v="2"/>
    <s v="Cash"/>
    <n v="5"/>
    <s v="iPhone SE"/>
  </r>
  <r>
    <n v="3336"/>
    <n v="17"/>
    <n v="5"/>
    <n v="2024"/>
    <s v="Friday"/>
    <x v="3"/>
    <n v="9"/>
    <n v="32984.82"/>
    <s v="Krishna Iyer"/>
    <n v="40"/>
    <x v="13"/>
    <s v="UPI"/>
    <n v="2"/>
    <s v="Galaxy Note 20"/>
  </r>
  <r>
    <n v="3337"/>
    <n v="17"/>
    <n v="5"/>
    <n v="2024"/>
    <s v="Friday"/>
    <x v="0"/>
    <n v="7"/>
    <n v="29822.86"/>
    <s v="Sunil Reddy"/>
    <n v="26"/>
    <x v="16"/>
    <s v="Debit Card"/>
    <n v="5"/>
    <s v="Redmi 9"/>
  </r>
  <r>
    <n v="3338"/>
    <n v="18"/>
    <n v="5"/>
    <n v="2024"/>
    <s v="Saturday"/>
    <x v="2"/>
    <n v="7"/>
    <n v="36884.51"/>
    <s v="Neeta Mishra"/>
    <n v="23"/>
    <x v="10"/>
    <s v="Cash"/>
    <n v="4"/>
    <s v="OnePlus Nord"/>
  </r>
  <r>
    <n v="3339"/>
    <n v="18"/>
    <n v="5"/>
    <n v="2024"/>
    <s v="Saturday"/>
    <x v="4"/>
    <n v="4"/>
    <n v="30770.5"/>
    <s v="Radha Kumar"/>
    <n v="19"/>
    <x v="13"/>
    <s v="Credit Card"/>
    <n v="3"/>
    <s v="iPhone 11"/>
  </r>
  <r>
    <n v="3340"/>
    <n v="18"/>
    <n v="5"/>
    <n v="2024"/>
    <s v="Saturday"/>
    <x v="0"/>
    <n v="1"/>
    <n v="30297.14"/>
    <s v="Deepika Das"/>
    <n v="55"/>
    <x v="2"/>
    <s v="Cash"/>
    <n v="4"/>
    <s v="Mi 11"/>
  </r>
  <r>
    <n v="3341"/>
    <n v="19"/>
    <n v="5"/>
    <n v="2024"/>
    <s v="Sunday"/>
    <x v="1"/>
    <n v="8"/>
    <n v="58484.66"/>
    <s v="Radha Sharma"/>
    <n v="26"/>
    <x v="1"/>
    <s v="Debit Card"/>
    <n v="1"/>
    <s v="Vivo S1"/>
  </r>
  <r>
    <n v="3342"/>
    <n v="19"/>
    <n v="5"/>
    <n v="2024"/>
    <s v="Sunday"/>
    <x v="4"/>
    <n v="4"/>
    <n v="17470.32"/>
    <s v="Harish Mishra"/>
    <n v="20"/>
    <x v="2"/>
    <s v="Cash"/>
    <n v="2"/>
    <s v="iPhone 11"/>
  </r>
  <r>
    <n v="3343"/>
    <n v="19"/>
    <n v="5"/>
    <n v="2024"/>
    <s v="Sunday"/>
    <x v="2"/>
    <n v="1"/>
    <n v="68236"/>
    <s v="Nikhil Kapoor"/>
    <n v="33"/>
    <x v="11"/>
    <s v="Cash"/>
    <n v="3"/>
    <s v="OnePlus Nord"/>
  </r>
  <r>
    <n v="3344"/>
    <n v="19"/>
    <n v="5"/>
    <n v="2024"/>
    <s v="Sunday"/>
    <x v="1"/>
    <n v="5"/>
    <n v="43295.9"/>
    <s v="Navin Pathak"/>
    <n v="42"/>
    <x v="1"/>
    <s v="Credit Card"/>
    <n v="2"/>
    <s v="Vivo V20"/>
  </r>
  <r>
    <n v="3345"/>
    <n v="20"/>
    <n v="5"/>
    <n v="2024"/>
    <s v="Monday"/>
    <x v="1"/>
    <n v="8"/>
    <n v="20975.439999999999"/>
    <s v="Ayesha Sheth"/>
    <n v="41"/>
    <x v="18"/>
    <s v="Cash"/>
    <n v="2"/>
    <s v="Vivo Y51"/>
  </r>
  <r>
    <n v="3346"/>
    <n v="20"/>
    <n v="5"/>
    <n v="2024"/>
    <s v="Monday"/>
    <x v="2"/>
    <n v="4"/>
    <n v="17872.93"/>
    <s v="Tanuja Malhotra"/>
    <n v="46"/>
    <x v="0"/>
    <s v="Credit Card"/>
    <n v="5"/>
    <s v="OnePlus 9"/>
  </r>
  <r>
    <n v="3347"/>
    <n v="20"/>
    <n v="5"/>
    <n v="2024"/>
    <s v="Monday"/>
    <x v="4"/>
    <n v="8"/>
    <n v="45490.57"/>
    <s v="Radha Kapoor"/>
    <n v="57"/>
    <x v="16"/>
    <s v="Credit Card"/>
    <n v="4"/>
    <s v="iPhone 11"/>
  </r>
  <r>
    <n v="3348"/>
    <n v="21"/>
    <n v="5"/>
    <n v="2024"/>
    <s v="Tuesday"/>
    <x v="3"/>
    <n v="8"/>
    <n v="47979.97"/>
    <s v="Priyanka Patel"/>
    <n v="43"/>
    <x v="11"/>
    <s v="Cash"/>
    <n v="3"/>
    <s v="Galaxy A51"/>
  </r>
  <r>
    <n v="3349"/>
    <n v="21"/>
    <n v="5"/>
    <n v="2024"/>
    <s v="Tuesday"/>
    <x v="2"/>
    <n v="3"/>
    <n v="13181.55"/>
    <s v="Priyanka Dutta"/>
    <n v="55"/>
    <x v="2"/>
    <s v="Debit Card"/>
    <n v="5"/>
    <s v="OnePlus Nord"/>
  </r>
  <r>
    <n v="3350"/>
    <n v="21"/>
    <n v="5"/>
    <n v="2024"/>
    <s v="Tuesday"/>
    <x v="2"/>
    <n v="9"/>
    <n v="24580.11"/>
    <s v="Umesh Patel"/>
    <n v="52"/>
    <x v="10"/>
    <s v="UPI"/>
    <n v="3"/>
    <s v="OnePlus Nord"/>
  </r>
  <r>
    <n v="3351"/>
    <n v="22"/>
    <n v="5"/>
    <n v="2024"/>
    <s v="Wednesday"/>
    <x v="2"/>
    <n v="3"/>
    <n v="57727.72"/>
    <s v="Prashant Das"/>
    <n v="40"/>
    <x v="14"/>
    <s v="Cash"/>
    <n v="4"/>
    <s v="OnePlus Nord"/>
  </r>
  <r>
    <n v="3352"/>
    <n v="22"/>
    <n v="5"/>
    <n v="2024"/>
    <s v="Wednesday"/>
    <x v="1"/>
    <n v="1"/>
    <n v="12977.48"/>
    <s v="Vinod Ahuja"/>
    <n v="21"/>
    <x v="10"/>
    <s v="Cash"/>
    <n v="5"/>
    <s v="Vivo S1"/>
  </r>
  <r>
    <n v="3353"/>
    <n v="22"/>
    <n v="5"/>
    <n v="2024"/>
    <s v="Wednesday"/>
    <x v="0"/>
    <n v="2"/>
    <n v="61305.32"/>
    <s v="Anjali Nambiar"/>
    <n v="59"/>
    <x v="2"/>
    <s v="Cash"/>
    <n v="3"/>
    <s v="Redmi 9"/>
  </r>
  <r>
    <n v="3354"/>
    <n v="22"/>
    <n v="5"/>
    <n v="2024"/>
    <s v="Wednesday"/>
    <x v="3"/>
    <n v="6"/>
    <n v="49489.75"/>
    <s v="Radha Pathak"/>
    <n v="31"/>
    <x v="8"/>
    <s v="UPI"/>
    <n v="5"/>
    <s v="Galaxy Note 20"/>
  </r>
  <r>
    <n v="3355"/>
    <n v="23"/>
    <n v="5"/>
    <n v="2024"/>
    <s v="Thursday"/>
    <x v="4"/>
    <n v="2"/>
    <n v="36065.4"/>
    <s v="Ravi Reddy"/>
    <n v="56"/>
    <x v="2"/>
    <s v="UPI"/>
    <n v="2"/>
    <s v="iPhone 11"/>
  </r>
  <r>
    <n v="3356"/>
    <n v="23"/>
    <n v="5"/>
    <n v="2024"/>
    <s v="Thursday"/>
    <x v="4"/>
    <n v="6"/>
    <n v="30785.97"/>
    <s v="Ravi Jain"/>
    <n v="24"/>
    <x v="0"/>
    <s v="Credit Card"/>
    <n v="1"/>
    <s v="iPhone 12"/>
  </r>
  <r>
    <n v="3357"/>
    <n v="23"/>
    <n v="5"/>
    <n v="2024"/>
    <s v="Thursday"/>
    <x v="0"/>
    <n v="1"/>
    <n v="11154.94"/>
    <s v="Lalita Ahuja"/>
    <n v="25"/>
    <x v="5"/>
    <s v="UPI"/>
    <n v="3"/>
    <s v="Mi 11"/>
  </r>
  <r>
    <n v="3358"/>
    <n v="24"/>
    <n v="5"/>
    <n v="2024"/>
    <s v="Friday"/>
    <x v="2"/>
    <n v="1"/>
    <n v="59512.9"/>
    <s v="Priyanka Mishra"/>
    <n v="59"/>
    <x v="10"/>
    <s v="UPI"/>
    <n v="4"/>
    <s v="OnePlus 8T"/>
  </r>
  <r>
    <n v="3359"/>
    <n v="24"/>
    <n v="5"/>
    <n v="2024"/>
    <s v="Friday"/>
    <x v="3"/>
    <n v="5"/>
    <n v="18563.310000000001"/>
    <s v="Vinod Srivastava"/>
    <n v="36"/>
    <x v="15"/>
    <s v="Cash"/>
    <n v="3"/>
    <s v="Galaxy S21"/>
  </r>
  <r>
    <n v="3360"/>
    <n v="24"/>
    <n v="5"/>
    <n v="2024"/>
    <s v="Friday"/>
    <x v="4"/>
    <n v="9"/>
    <n v="28572.52"/>
    <s v="Anita Srivastava"/>
    <n v="19"/>
    <x v="1"/>
    <s v="Credit Card"/>
    <n v="1"/>
    <s v="iPhone 12"/>
  </r>
  <r>
    <n v="3361"/>
    <n v="24"/>
    <n v="5"/>
    <n v="2024"/>
    <s v="Friday"/>
    <x v="4"/>
    <n v="8"/>
    <n v="44146.42"/>
    <s v="Neeta Ghosh"/>
    <n v="18"/>
    <x v="9"/>
    <s v="Debit Card"/>
    <n v="3"/>
    <s v="iPhone SE"/>
  </r>
  <r>
    <n v="3362"/>
    <n v="25"/>
    <n v="5"/>
    <n v="2024"/>
    <s v="Saturday"/>
    <x v="2"/>
    <n v="3"/>
    <n v="24759.56"/>
    <s v="Gita Bhattacharya"/>
    <n v="59"/>
    <x v="8"/>
    <s v="Credit Card"/>
    <n v="3"/>
    <s v="OnePlus 9"/>
  </r>
  <r>
    <n v="3363"/>
    <n v="25"/>
    <n v="5"/>
    <n v="2024"/>
    <s v="Saturday"/>
    <x v="0"/>
    <n v="3"/>
    <n v="39828.43"/>
    <s v="Nikhil Bhattacharya"/>
    <n v="55"/>
    <x v="1"/>
    <s v="UPI"/>
    <n v="3"/>
    <s v="Redmi Note 10"/>
  </r>
  <r>
    <n v="3364"/>
    <n v="25"/>
    <n v="5"/>
    <n v="2024"/>
    <s v="Saturday"/>
    <x v="3"/>
    <n v="1"/>
    <n v="58560.57"/>
    <s v="Umesh Dutta"/>
    <n v="30"/>
    <x v="12"/>
    <s v="UPI"/>
    <n v="4"/>
    <s v="Galaxy Note 20"/>
  </r>
  <r>
    <n v="3365"/>
    <n v="26"/>
    <n v="5"/>
    <n v="2024"/>
    <s v="Sunday"/>
    <x v="0"/>
    <n v="3"/>
    <n v="38232.28"/>
    <s v="Jyoti Menon"/>
    <n v="59"/>
    <x v="1"/>
    <s v="Cash"/>
    <n v="1"/>
    <s v="Redmi 9"/>
  </r>
  <r>
    <n v="3366"/>
    <n v="26"/>
    <n v="5"/>
    <n v="2024"/>
    <s v="Sunday"/>
    <x v="0"/>
    <n v="1"/>
    <n v="66938.64"/>
    <s v="Jyoti Mishra"/>
    <n v="41"/>
    <x v="11"/>
    <s v="Debit Card"/>
    <n v="1"/>
    <s v="Redmi Note 10"/>
  </r>
  <r>
    <n v="3367"/>
    <n v="26"/>
    <n v="5"/>
    <n v="2024"/>
    <s v="Sunday"/>
    <x v="3"/>
    <n v="8"/>
    <n v="60850.04"/>
    <s v="Krishna Iyer"/>
    <n v="49"/>
    <x v="2"/>
    <s v="Debit Card"/>
    <n v="4"/>
    <s v="Galaxy A51"/>
  </r>
  <r>
    <n v="3368"/>
    <n v="27"/>
    <n v="5"/>
    <n v="2024"/>
    <s v="Monday"/>
    <x v="3"/>
    <n v="1"/>
    <n v="29982.35"/>
    <s v="Tanuja Srivastava"/>
    <n v="47"/>
    <x v="11"/>
    <s v="Debit Card"/>
    <n v="3"/>
    <s v="Galaxy A51"/>
  </r>
  <r>
    <n v="3369"/>
    <n v="27"/>
    <n v="5"/>
    <n v="2024"/>
    <s v="Monday"/>
    <x v="4"/>
    <n v="5"/>
    <n v="33997.730000000003"/>
    <s v="Tapan Rawat"/>
    <n v="23"/>
    <x v="13"/>
    <s v="UPI"/>
    <n v="3"/>
    <s v="iPhone 12"/>
  </r>
  <r>
    <n v="3370"/>
    <n v="27"/>
    <n v="5"/>
    <n v="2024"/>
    <s v="Monday"/>
    <x v="4"/>
    <n v="9"/>
    <n v="35399.599999999999"/>
    <s v="Aditya Sheth"/>
    <n v="55"/>
    <x v="6"/>
    <s v="UPI"/>
    <n v="1"/>
    <s v="iPhone 12"/>
  </r>
  <r>
    <n v="3371"/>
    <n v="28"/>
    <n v="5"/>
    <n v="2024"/>
    <s v="Tuesday"/>
    <x v="3"/>
    <n v="7"/>
    <n v="47570.77"/>
    <s v="Yogesh Mishra"/>
    <n v="50"/>
    <x v="8"/>
    <s v="Credit Card"/>
    <n v="3"/>
    <s v="Galaxy S21"/>
  </r>
  <r>
    <n v="3372"/>
    <n v="28"/>
    <n v="5"/>
    <n v="2024"/>
    <s v="Tuesday"/>
    <x v="1"/>
    <n v="4"/>
    <n v="27207.74"/>
    <s v="Vivek Nair"/>
    <n v="40"/>
    <x v="6"/>
    <s v="UPI"/>
    <n v="2"/>
    <s v="Vivo V20"/>
  </r>
  <r>
    <n v="3373"/>
    <n v="28"/>
    <n v="5"/>
    <n v="2024"/>
    <s v="Tuesday"/>
    <x v="4"/>
    <n v="9"/>
    <n v="68154.95"/>
    <s v="Namita Siddiqui"/>
    <n v="27"/>
    <x v="1"/>
    <s v="Debit Card"/>
    <n v="3"/>
    <s v="iPhone SE"/>
  </r>
  <r>
    <n v="3374"/>
    <n v="28"/>
    <n v="5"/>
    <n v="2024"/>
    <s v="Tuesday"/>
    <x v="1"/>
    <n v="9"/>
    <n v="46521.05"/>
    <s v="Isha Sheth"/>
    <n v="32"/>
    <x v="2"/>
    <s v="Debit Card"/>
    <n v="3"/>
    <s v="Vivo Y51"/>
  </r>
  <r>
    <n v="3375"/>
    <n v="29"/>
    <n v="5"/>
    <n v="2024"/>
    <s v="Wednesday"/>
    <x v="3"/>
    <n v="2"/>
    <n v="33964.1"/>
    <s v="Prashant Nair"/>
    <n v="40"/>
    <x v="17"/>
    <s v="Debit Card"/>
    <n v="5"/>
    <s v="Galaxy A51"/>
  </r>
  <r>
    <n v="3376"/>
    <n v="29"/>
    <n v="5"/>
    <n v="2024"/>
    <s v="Wednesday"/>
    <x v="4"/>
    <n v="6"/>
    <n v="48700.59"/>
    <s v="Vivek Mehta"/>
    <n v="53"/>
    <x v="7"/>
    <s v="Cash"/>
    <n v="1"/>
    <s v="iPhone SE"/>
  </r>
  <r>
    <n v="3377"/>
    <n v="29"/>
    <n v="5"/>
    <n v="2024"/>
    <s v="Wednesday"/>
    <x v="0"/>
    <n v="4"/>
    <n v="33724.300000000003"/>
    <s v="Reena Chatterjee"/>
    <n v="18"/>
    <x v="13"/>
    <s v="Credit Card"/>
    <n v="1"/>
    <s v="Redmi 9"/>
  </r>
  <r>
    <n v="3378"/>
    <n v="30"/>
    <n v="5"/>
    <n v="2024"/>
    <s v="Thursday"/>
    <x v="3"/>
    <n v="8"/>
    <n v="59067.74"/>
    <s v="Deepika Gupta"/>
    <n v="25"/>
    <x v="1"/>
    <s v="Credit Card"/>
    <n v="2"/>
    <s v="Galaxy S21"/>
  </r>
  <r>
    <n v="3379"/>
    <n v="30"/>
    <n v="5"/>
    <n v="2024"/>
    <s v="Thursday"/>
    <x v="2"/>
    <n v="7"/>
    <n v="44070.46"/>
    <s v="Rohan Roy"/>
    <n v="20"/>
    <x v="9"/>
    <s v="UPI"/>
    <n v="2"/>
    <s v="OnePlus 9"/>
  </r>
  <r>
    <n v="3380"/>
    <n v="30"/>
    <n v="5"/>
    <n v="2024"/>
    <s v="Thursday"/>
    <x v="1"/>
    <n v="7"/>
    <n v="12518.23"/>
    <s v="Aditya Iyer"/>
    <n v="31"/>
    <x v="13"/>
    <s v="Cash"/>
    <n v="2"/>
    <s v="Vivo Y51"/>
  </r>
  <r>
    <n v="3381"/>
    <n v="31"/>
    <n v="5"/>
    <n v="2024"/>
    <s v="Friday"/>
    <x v="3"/>
    <n v="9"/>
    <n v="20605.41"/>
    <s v="Priya Teja"/>
    <n v="34"/>
    <x v="1"/>
    <s v="Credit Card"/>
    <n v="1"/>
    <s v="Galaxy Note 20"/>
  </r>
  <r>
    <n v="3382"/>
    <n v="31"/>
    <n v="5"/>
    <n v="2024"/>
    <s v="Friday"/>
    <x v="3"/>
    <n v="5"/>
    <n v="61899.64"/>
    <s v="Pooja Srivastava"/>
    <n v="51"/>
    <x v="8"/>
    <s v="Cash"/>
    <n v="5"/>
    <s v="Galaxy Note 20"/>
  </r>
  <r>
    <n v="3383"/>
    <n v="31"/>
    <n v="5"/>
    <n v="2024"/>
    <s v="Friday"/>
    <x v="4"/>
    <n v="6"/>
    <n v="43773.99"/>
    <s v="Priyanka Chatterjee"/>
    <n v="23"/>
    <x v="6"/>
    <s v="Cash"/>
    <n v="5"/>
    <s v="iPhone SE"/>
  </r>
  <r>
    <n v="3384"/>
    <n v="1"/>
    <n v="6"/>
    <n v="2024"/>
    <s v="Saturday"/>
    <x v="4"/>
    <n v="1"/>
    <n v="67020.61"/>
    <s v="Mala Srivastava"/>
    <n v="22"/>
    <x v="2"/>
    <s v="UPI"/>
    <n v="4"/>
    <s v="iPhone 11"/>
  </r>
  <r>
    <n v="3385"/>
    <n v="1"/>
    <n v="6"/>
    <n v="2024"/>
    <s v="Saturday"/>
    <x v="4"/>
    <n v="6"/>
    <n v="14345.34"/>
    <s v="Radha Gupta"/>
    <n v="58"/>
    <x v="3"/>
    <s v="Cash"/>
    <n v="1"/>
    <s v="iPhone SE"/>
  </r>
  <r>
    <n v="3386"/>
    <n v="1"/>
    <n v="6"/>
    <n v="2024"/>
    <s v="Saturday"/>
    <x v="2"/>
    <n v="2"/>
    <n v="27715.64"/>
    <s v="Priya Reddy"/>
    <n v="57"/>
    <x v="13"/>
    <s v="Credit Card"/>
    <n v="4"/>
    <s v="OnePlus 9"/>
  </r>
  <r>
    <n v="3387"/>
    <n v="2"/>
    <n v="6"/>
    <n v="2024"/>
    <s v="Sunday"/>
    <x v="4"/>
    <n v="6"/>
    <n v="21612.6"/>
    <s v="Ayesha Rathod"/>
    <n v="46"/>
    <x v="2"/>
    <s v="UPI"/>
    <n v="3"/>
    <s v="iPhone SE"/>
  </r>
  <r>
    <n v="3388"/>
    <n v="2"/>
    <n v="6"/>
    <n v="2024"/>
    <s v="Sunday"/>
    <x v="3"/>
    <n v="9"/>
    <n v="43230.42"/>
    <s v="Nikhil Varma"/>
    <n v="52"/>
    <x v="0"/>
    <s v="Credit Card"/>
    <n v="2"/>
    <s v="Galaxy S21"/>
  </r>
  <r>
    <n v="3389"/>
    <n v="2"/>
    <n v="6"/>
    <n v="2024"/>
    <s v="Sunday"/>
    <x v="4"/>
    <n v="8"/>
    <n v="32967.57"/>
    <s v="Vivek Rawat"/>
    <n v="35"/>
    <x v="15"/>
    <s v="Cash"/>
    <n v="4"/>
    <s v="iPhone 12"/>
  </r>
  <r>
    <n v="3390"/>
    <n v="2"/>
    <n v="6"/>
    <n v="2024"/>
    <s v="Sunday"/>
    <x v="0"/>
    <n v="9"/>
    <n v="19436.41"/>
    <s v="Ravi Prasad"/>
    <n v="57"/>
    <x v="1"/>
    <s v="Cash"/>
    <n v="4"/>
    <s v="Mi 11"/>
  </r>
  <r>
    <n v="3391"/>
    <n v="3"/>
    <n v="6"/>
    <n v="2024"/>
    <s v="Monday"/>
    <x v="4"/>
    <n v="8"/>
    <n v="48565.11"/>
    <s v="Neeta Sharma"/>
    <n v="47"/>
    <x v="17"/>
    <s v="Debit Card"/>
    <n v="5"/>
    <s v="iPhone 12"/>
  </r>
  <r>
    <n v="3392"/>
    <n v="3"/>
    <n v="6"/>
    <n v="2024"/>
    <s v="Monday"/>
    <x v="2"/>
    <n v="3"/>
    <n v="42177.9"/>
    <s v="Sachin Shah"/>
    <n v="32"/>
    <x v="5"/>
    <s v="UPI"/>
    <n v="2"/>
    <s v="OnePlus 8T"/>
  </r>
  <r>
    <n v="3393"/>
    <n v="3"/>
    <n v="6"/>
    <n v="2024"/>
    <s v="Monday"/>
    <x v="0"/>
    <n v="8"/>
    <n v="26484.18"/>
    <s v="Sanjay Jain"/>
    <n v="32"/>
    <x v="1"/>
    <s v="UPI"/>
    <n v="2"/>
    <s v="Mi 11"/>
  </r>
  <r>
    <n v="3394"/>
    <n v="3"/>
    <n v="6"/>
    <n v="2024"/>
    <s v="Monday"/>
    <x v="3"/>
    <n v="6"/>
    <n v="38786.28"/>
    <s v="Vivek Mathur"/>
    <n v="33"/>
    <x v="2"/>
    <s v="Debit Card"/>
    <n v="5"/>
    <s v="Galaxy Note 20"/>
  </r>
  <r>
    <n v="3395"/>
    <n v="4"/>
    <n v="6"/>
    <n v="2024"/>
    <s v="Tuesday"/>
    <x v="3"/>
    <n v="6"/>
    <n v="54744.3"/>
    <s v="Kavita Rawat"/>
    <n v="50"/>
    <x v="1"/>
    <s v="Credit Card"/>
    <n v="4"/>
    <s v="Galaxy A51"/>
  </r>
  <r>
    <n v="3396"/>
    <n v="4"/>
    <n v="6"/>
    <n v="2024"/>
    <s v="Tuesday"/>
    <x v="1"/>
    <n v="6"/>
    <n v="22316.3"/>
    <s v="Bina Kumar"/>
    <n v="27"/>
    <x v="13"/>
    <s v="Credit Card"/>
    <n v="5"/>
    <s v="Vivo Y51"/>
  </r>
  <r>
    <n v="3397"/>
    <n v="4"/>
    <n v="6"/>
    <n v="2024"/>
    <s v="Tuesday"/>
    <x v="0"/>
    <n v="3"/>
    <n v="27574.34"/>
    <s v="Amit Sheth"/>
    <n v="36"/>
    <x v="16"/>
    <s v="Cash"/>
    <n v="4"/>
    <s v="Mi 11"/>
  </r>
  <r>
    <n v="3398"/>
    <n v="5"/>
    <n v="6"/>
    <n v="2024"/>
    <s v="Wednesday"/>
    <x v="1"/>
    <n v="1"/>
    <n v="30766.66"/>
    <s v="Sachin Ghosh"/>
    <n v="54"/>
    <x v="1"/>
    <s v="UPI"/>
    <n v="5"/>
    <s v="Vivo V20"/>
  </r>
  <r>
    <n v="3399"/>
    <n v="5"/>
    <n v="6"/>
    <n v="2024"/>
    <s v="Wednesday"/>
    <x v="0"/>
    <n v="4"/>
    <n v="54803.59"/>
    <s v="Monika Rawat"/>
    <n v="20"/>
    <x v="2"/>
    <s v="Cash"/>
    <n v="5"/>
    <s v="Redmi 9"/>
  </r>
  <r>
    <n v="3400"/>
    <n v="5"/>
    <n v="6"/>
    <n v="2024"/>
    <s v="Wednesday"/>
    <x v="0"/>
    <n v="6"/>
    <n v="60815.360000000001"/>
    <s v="Lalita Bhatnagar"/>
    <n v="53"/>
    <x v="2"/>
    <s v="Debit Card"/>
    <n v="3"/>
    <s v="Mi 11"/>
  </r>
  <r>
    <n v="3401"/>
    <n v="5"/>
    <n v="6"/>
    <n v="2024"/>
    <s v="Wednesday"/>
    <x v="2"/>
    <n v="2"/>
    <n v="32583.31"/>
    <s v="Namita Kumar"/>
    <n v="21"/>
    <x v="11"/>
    <s v="Cash"/>
    <n v="4"/>
    <s v="OnePlus 8T"/>
  </r>
  <r>
    <n v="3402"/>
    <n v="6"/>
    <n v="6"/>
    <n v="2024"/>
    <s v="Thursday"/>
    <x v="1"/>
    <n v="7"/>
    <n v="27797.25"/>
    <s v="Kavita Bhattacharya"/>
    <n v="28"/>
    <x v="1"/>
    <s v="Credit Card"/>
    <n v="4"/>
    <s v="Vivo Y51"/>
  </r>
  <r>
    <n v="3403"/>
    <n v="6"/>
    <n v="6"/>
    <n v="2024"/>
    <s v="Thursday"/>
    <x v="2"/>
    <n v="7"/>
    <n v="63366.81"/>
    <s v="Mala Menon"/>
    <n v="58"/>
    <x v="15"/>
    <s v="Credit Card"/>
    <n v="2"/>
    <s v="OnePlus 9"/>
  </r>
  <r>
    <n v="3404"/>
    <n v="6"/>
    <n v="6"/>
    <n v="2024"/>
    <s v="Thursday"/>
    <x v="0"/>
    <n v="4"/>
    <n v="69961.899999999994"/>
    <s v="Devendra Arora"/>
    <n v="50"/>
    <x v="10"/>
    <s v="Debit Card"/>
    <n v="2"/>
    <s v="Redmi Note 10"/>
  </r>
  <r>
    <n v="3405"/>
    <n v="7"/>
    <n v="6"/>
    <n v="2024"/>
    <s v="Friday"/>
    <x v="3"/>
    <n v="4"/>
    <n v="50221.22"/>
    <s v="Vijay Shah"/>
    <n v="45"/>
    <x v="11"/>
    <s v="Credit Card"/>
    <n v="5"/>
    <s v="Galaxy S21"/>
  </r>
  <r>
    <n v="3406"/>
    <n v="7"/>
    <n v="6"/>
    <n v="2024"/>
    <s v="Friday"/>
    <x v="0"/>
    <n v="1"/>
    <n v="69398.84"/>
    <s v="Prashant Nair"/>
    <n v="49"/>
    <x v="18"/>
    <s v="Debit Card"/>
    <n v="3"/>
    <s v="Mi 11"/>
  </r>
  <r>
    <n v="3407"/>
    <n v="7"/>
    <n v="6"/>
    <n v="2024"/>
    <s v="Friday"/>
    <x v="2"/>
    <n v="2"/>
    <n v="49597.98"/>
    <s v="Sunil Varma"/>
    <n v="33"/>
    <x v="1"/>
    <s v="UPI"/>
    <n v="5"/>
    <s v="OnePlus 8T"/>
  </r>
  <r>
    <n v="3408"/>
    <n v="8"/>
    <n v="6"/>
    <n v="2024"/>
    <s v="Saturday"/>
    <x v="1"/>
    <n v="9"/>
    <n v="54007.62"/>
    <s v="Nikhil Pathak"/>
    <n v="26"/>
    <x v="8"/>
    <s v="Debit Card"/>
    <n v="4"/>
    <s v="Vivo Y51"/>
  </r>
  <r>
    <n v="3409"/>
    <n v="8"/>
    <n v="6"/>
    <n v="2024"/>
    <s v="Saturday"/>
    <x v="1"/>
    <n v="8"/>
    <n v="33319.360000000001"/>
    <s v="Gita Iyer"/>
    <n v="28"/>
    <x v="0"/>
    <s v="Debit Card"/>
    <n v="5"/>
    <s v="Vivo Y51"/>
  </r>
  <r>
    <n v="3410"/>
    <n v="8"/>
    <n v="6"/>
    <n v="2024"/>
    <s v="Saturday"/>
    <x v="2"/>
    <n v="8"/>
    <n v="35978.050000000003"/>
    <s v="Jyoti Srivastava"/>
    <n v="23"/>
    <x v="6"/>
    <s v="Debit Card"/>
    <n v="3"/>
    <s v="OnePlus 8T"/>
  </r>
  <r>
    <n v="3411"/>
    <n v="9"/>
    <n v="6"/>
    <n v="2024"/>
    <s v="Sunday"/>
    <x v="1"/>
    <n v="9"/>
    <n v="18648.14"/>
    <s v="Shruti Bhatnagar"/>
    <n v="44"/>
    <x v="12"/>
    <s v="Credit Card"/>
    <n v="2"/>
    <s v="Vivo V20"/>
  </r>
  <r>
    <n v="3412"/>
    <n v="9"/>
    <n v="6"/>
    <n v="2024"/>
    <s v="Sunday"/>
    <x v="4"/>
    <n v="7"/>
    <n v="59365"/>
    <s v="Kiran Malhotra"/>
    <n v="29"/>
    <x v="8"/>
    <s v="UPI"/>
    <n v="3"/>
    <s v="iPhone 11"/>
  </r>
  <r>
    <n v="3413"/>
    <n v="9"/>
    <n v="6"/>
    <n v="2024"/>
    <s v="Sunday"/>
    <x v="3"/>
    <n v="9"/>
    <n v="65863.539999999994"/>
    <s v="Isha Reddy"/>
    <n v="39"/>
    <x v="2"/>
    <s v="Cash"/>
    <n v="5"/>
    <s v="Galaxy A51"/>
  </r>
  <r>
    <n v="3414"/>
    <n v="9"/>
    <n v="6"/>
    <n v="2024"/>
    <s v="Sunday"/>
    <x v="3"/>
    <n v="2"/>
    <n v="47406.29"/>
    <s v="Isha Sheth"/>
    <n v="57"/>
    <x v="4"/>
    <s v="UPI"/>
    <n v="5"/>
    <s v="Galaxy Note 20"/>
  </r>
  <r>
    <n v="3415"/>
    <n v="10"/>
    <n v="6"/>
    <n v="2024"/>
    <s v="Monday"/>
    <x v="3"/>
    <n v="6"/>
    <n v="30618.84"/>
    <s v="Meena Desai"/>
    <n v="54"/>
    <x v="16"/>
    <s v="Credit Card"/>
    <n v="2"/>
    <s v="Galaxy S21"/>
  </r>
  <r>
    <n v="3416"/>
    <n v="10"/>
    <n v="6"/>
    <n v="2024"/>
    <s v="Monday"/>
    <x v="1"/>
    <n v="3"/>
    <n v="19240.98"/>
    <s v="Lalita Rathod"/>
    <n v="38"/>
    <x v="7"/>
    <s v="UPI"/>
    <n v="2"/>
    <s v="Vivo Y51"/>
  </r>
  <r>
    <n v="3417"/>
    <n v="10"/>
    <n v="6"/>
    <n v="2024"/>
    <s v="Monday"/>
    <x v="1"/>
    <n v="6"/>
    <n v="25909.37"/>
    <s v="Sanjay Thakur"/>
    <n v="50"/>
    <x v="17"/>
    <s v="UPI"/>
    <n v="5"/>
    <s v="Vivo S1"/>
  </r>
  <r>
    <n v="3418"/>
    <n v="10"/>
    <n v="6"/>
    <n v="2024"/>
    <s v="Monday"/>
    <x v="0"/>
    <n v="3"/>
    <n v="25324.63"/>
    <s v="Manoj Goyal"/>
    <n v="34"/>
    <x v="2"/>
    <s v="Debit Card"/>
    <n v="2"/>
    <s v="Mi 11"/>
  </r>
  <r>
    <n v="3419"/>
    <n v="11"/>
    <n v="6"/>
    <n v="2024"/>
    <s v="Tuesday"/>
    <x v="0"/>
    <n v="8"/>
    <n v="46811.67"/>
    <s v="Anita Deshmukh"/>
    <n v="46"/>
    <x v="15"/>
    <s v="Debit Card"/>
    <n v="5"/>
    <s v="Redmi 9"/>
  </r>
  <r>
    <n v="3420"/>
    <n v="11"/>
    <n v="6"/>
    <n v="2024"/>
    <s v="Tuesday"/>
    <x v="3"/>
    <n v="4"/>
    <n v="66702.25"/>
    <s v="Anand Nair"/>
    <n v="57"/>
    <x v="16"/>
    <s v="Credit Card"/>
    <n v="2"/>
    <s v="Galaxy A51"/>
  </r>
  <r>
    <n v="3421"/>
    <n v="11"/>
    <n v="6"/>
    <n v="2024"/>
    <s v="Tuesday"/>
    <x v="4"/>
    <n v="6"/>
    <n v="12896.31"/>
    <s v="Sumit Goyal"/>
    <n v="27"/>
    <x v="1"/>
    <s v="Debit Card"/>
    <n v="4"/>
    <s v="iPhone 12"/>
  </r>
  <r>
    <n v="3422"/>
    <n v="11"/>
    <n v="6"/>
    <n v="2024"/>
    <s v="Tuesday"/>
    <x v="0"/>
    <n v="9"/>
    <n v="10061.34"/>
    <s v="Anjali Srivastava"/>
    <n v="35"/>
    <x v="1"/>
    <s v="Credit Card"/>
    <n v="3"/>
    <s v="Redmi 9"/>
  </r>
  <r>
    <n v="3423"/>
    <n v="12"/>
    <n v="6"/>
    <n v="2024"/>
    <s v="Wednesday"/>
    <x v="0"/>
    <n v="2"/>
    <n v="46010.92"/>
    <s v="Prashant Jain"/>
    <n v="30"/>
    <x v="2"/>
    <s v="Cash"/>
    <n v="5"/>
    <s v="Mi 11"/>
  </r>
  <r>
    <n v="3424"/>
    <n v="12"/>
    <n v="6"/>
    <n v="2024"/>
    <s v="Wednesday"/>
    <x v="1"/>
    <n v="2"/>
    <n v="27043.63"/>
    <s v="Kavita Rawat"/>
    <n v="44"/>
    <x v="18"/>
    <s v="UPI"/>
    <n v="5"/>
    <s v="Vivo S1"/>
  </r>
  <r>
    <n v="3425"/>
    <n v="12"/>
    <n v="6"/>
    <n v="2024"/>
    <s v="Wednesday"/>
    <x v="4"/>
    <n v="7"/>
    <n v="62832.9"/>
    <s v="Anita Sharma"/>
    <n v="27"/>
    <x v="5"/>
    <s v="Cash"/>
    <n v="5"/>
    <s v="iPhone 11"/>
  </r>
  <r>
    <n v="3426"/>
    <n v="12"/>
    <n v="6"/>
    <n v="2024"/>
    <s v="Wednesday"/>
    <x v="3"/>
    <n v="2"/>
    <n v="29635.02"/>
    <s v="Jyoti Ghosh"/>
    <n v="49"/>
    <x v="0"/>
    <s v="Cash"/>
    <n v="4"/>
    <s v="Galaxy Note 20"/>
  </r>
  <r>
    <n v="3427"/>
    <n v="13"/>
    <n v="6"/>
    <n v="2024"/>
    <s v="Thursday"/>
    <x v="0"/>
    <n v="2"/>
    <n v="27384.26"/>
    <s v="Yogesh Menon"/>
    <n v="58"/>
    <x v="17"/>
    <s v="UPI"/>
    <n v="2"/>
    <s v="Mi 11"/>
  </r>
  <r>
    <n v="3428"/>
    <n v="13"/>
    <n v="6"/>
    <n v="2024"/>
    <s v="Thursday"/>
    <x v="4"/>
    <n v="4"/>
    <n v="26170.639999999999"/>
    <s v="Neeta Arora"/>
    <n v="20"/>
    <x v="3"/>
    <s v="Debit Card"/>
    <n v="2"/>
    <s v="iPhone 11"/>
  </r>
  <r>
    <n v="3429"/>
    <n v="13"/>
    <n v="6"/>
    <n v="2024"/>
    <s v="Thursday"/>
    <x v="4"/>
    <n v="9"/>
    <n v="18691.169999999998"/>
    <s v="Isha Thakur"/>
    <n v="39"/>
    <x v="3"/>
    <s v="Cash"/>
    <n v="5"/>
    <s v="iPhone 12"/>
  </r>
  <r>
    <n v="3430"/>
    <n v="13"/>
    <n v="6"/>
    <n v="2024"/>
    <s v="Thursday"/>
    <x v="3"/>
    <n v="8"/>
    <n v="44891.83"/>
    <s v="Navin Pathak"/>
    <n v="44"/>
    <x v="18"/>
    <s v="UPI"/>
    <n v="2"/>
    <s v="Galaxy Note 20"/>
  </r>
  <r>
    <n v="3431"/>
    <n v="14"/>
    <n v="6"/>
    <n v="2024"/>
    <s v="Friday"/>
    <x v="4"/>
    <n v="2"/>
    <n v="20092.82"/>
    <s v="Sanjay Das"/>
    <n v="20"/>
    <x v="0"/>
    <s v="Cash"/>
    <n v="2"/>
    <s v="iPhone 12"/>
  </r>
  <r>
    <n v="3432"/>
    <n v="14"/>
    <n v="6"/>
    <n v="2024"/>
    <s v="Friday"/>
    <x v="4"/>
    <n v="8"/>
    <n v="35477.870000000003"/>
    <s v="Kavita Goyal"/>
    <n v="50"/>
    <x v="4"/>
    <s v="Cash"/>
    <n v="4"/>
    <s v="iPhone SE"/>
  </r>
  <r>
    <n v="3433"/>
    <n v="14"/>
    <n v="6"/>
    <n v="2024"/>
    <s v="Friday"/>
    <x v="4"/>
    <n v="4"/>
    <n v="37658.32"/>
    <s v="Shruti Pathak"/>
    <n v="19"/>
    <x v="2"/>
    <s v="UPI"/>
    <n v="5"/>
    <s v="iPhone 11"/>
  </r>
  <r>
    <n v="3434"/>
    <n v="14"/>
    <n v="6"/>
    <n v="2024"/>
    <s v="Friday"/>
    <x v="0"/>
    <n v="2"/>
    <n v="11229.52"/>
    <s v="Kavita Kaur"/>
    <n v="28"/>
    <x v="15"/>
    <s v="Debit Card"/>
    <n v="3"/>
    <s v="Redmi 9"/>
  </r>
  <r>
    <n v="3435"/>
    <n v="15"/>
    <n v="6"/>
    <n v="2024"/>
    <s v="Saturday"/>
    <x v="3"/>
    <n v="7"/>
    <n v="11008.44"/>
    <s v="Rajesh Singh"/>
    <n v="27"/>
    <x v="4"/>
    <s v="Credit Card"/>
    <n v="5"/>
    <s v="Galaxy S21"/>
  </r>
  <r>
    <n v="3436"/>
    <n v="15"/>
    <n v="6"/>
    <n v="2024"/>
    <s v="Saturday"/>
    <x v="4"/>
    <n v="6"/>
    <n v="41212.76"/>
    <s v="Devendra Singh"/>
    <n v="56"/>
    <x v="12"/>
    <s v="UPI"/>
    <n v="5"/>
    <s v="iPhone 11"/>
  </r>
  <r>
    <n v="3437"/>
    <n v="15"/>
    <n v="6"/>
    <n v="2024"/>
    <s v="Saturday"/>
    <x v="4"/>
    <n v="5"/>
    <n v="51762.080000000002"/>
    <s v="Sneha Yadav"/>
    <n v="50"/>
    <x v="2"/>
    <s v="Credit Card"/>
    <n v="3"/>
    <s v="iPhone 11"/>
  </r>
  <r>
    <n v="3438"/>
    <n v="15"/>
    <n v="6"/>
    <n v="2024"/>
    <s v="Saturday"/>
    <x v="0"/>
    <n v="1"/>
    <n v="66528.55"/>
    <s v="Mala Das"/>
    <n v="24"/>
    <x v="5"/>
    <s v="UPI"/>
    <n v="5"/>
    <s v="Redmi Note 10"/>
  </r>
  <r>
    <n v="3439"/>
    <n v="16"/>
    <n v="6"/>
    <n v="2024"/>
    <s v="Sunday"/>
    <x v="3"/>
    <n v="2"/>
    <n v="20747.16"/>
    <s v="Bina Teja"/>
    <n v="32"/>
    <x v="1"/>
    <s v="UPI"/>
    <n v="5"/>
    <s v="Galaxy A51"/>
  </r>
  <r>
    <n v="3440"/>
    <n v="16"/>
    <n v="6"/>
    <n v="2024"/>
    <s v="Sunday"/>
    <x v="1"/>
    <n v="8"/>
    <n v="16195.53"/>
    <s v="Pankaj Mehta"/>
    <n v="43"/>
    <x v="13"/>
    <s v="Credit Card"/>
    <n v="4"/>
    <s v="Vivo V20"/>
  </r>
  <r>
    <n v="3441"/>
    <n v="16"/>
    <n v="6"/>
    <n v="2024"/>
    <s v="Sunday"/>
    <x v="0"/>
    <n v="1"/>
    <n v="13125.27"/>
    <s v="Lata Dutta"/>
    <n v="28"/>
    <x v="8"/>
    <s v="Credit Card"/>
    <n v="4"/>
    <s v="Redmi 9"/>
  </r>
  <r>
    <n v="3442"/>
    <n v="16"/>
    <n v="6"/>
    <n v="2024"/>
    <s v="Sunday"/>
    <x v="3"/>
    <n v="3"/>
    <n v="36162.49"/>
    <s v="Neeta Solanki"/>
    <n v="55"/>
    <x v="18"/>
    <s v="Debit Card"/>
    <n v="4"/>
    <s v="Galaxy A51"/>
  </r>
  <r>
    <n v="3443"/>
    <n v="17"/>
    <n v="6"/>
    <n v="2024"/>
    <s v="Monday"/>
    <x v="4"/>
    <n v="2"/>
    <n v="47388.84"/>
    <s v="Lata Shah"/>
    <n v="44"/>
    <x v="12"/>
    <s v="UPI"/>
    <n v="5"/>
    <s v="iPhone SE"/>
  </r>
  <r>
    <n v="3444"/>
    <n v="17"/>
    <n v="6"/>
    <n v="2024"/>
    <s v="Monday"/>
    <x v="3"/>
    <n v="5"/>
    <n v="60433.2"/>
    <s v="Radha Rao"/>
    <n v="56"/>
    <x v="8"/>
    <s v="UPI"/>
    <n v="5"/>
    <s v="Galaxy Note 20"/>
  </r>
  <r>
    <n v="3445"/>
    <n v="17"/>
    <n v="6"/>
    <n v="2024"/>
    <s v="Monday"/>
    <x v="3"/>
    <n v="4"/>
    <n v="50958.69"/>
    <s v="Manoj Shah"/>
    <n v="24"/>
    <x v="3"/>
    <s v="UPI"/>
    <n v="2"/>
    <s v="Galaxy S21"/>
  </r>
  <r>
    <n v="3446"/>
    <n v="17"/>
    <n v="6"/>
    <n v="2024"/>
    <s v="Monday"/>
    <x v="3"/>
    <n v="7"/>
    <n v="22501.65"/>
    <s v="Rajesh Yadav"/>
    <n v="18"/>
    <x v="6"/>
    <s v="Debit Card"/>
    <n v="2"/>
    <s v="Galaxy Note 20"/>
  </r>
  <r>
    <n v="3447"/>
    <n v="18"/>
    <n v="6"/>
    <n v="2024"/>
    <s v="Tuesday"/>
    <x v="1"/>
    <n v="5"/>
    <n v="37706.22"/>
    <s v="Nikhil Jain"/>
    <n v="27"/>
    <x v="6"/>
    <s v="Credit Card"/>
    <n v="4"/>
    <s v="Vivo V20"/>
  </r>
  <r>
    <n v="3448"/>
    <n v="18"/>
    <n v="6"/>
    <n v="2024"/>
    <s v="Tuesday"/>
    <x v="3"/>
    <n v="8"/>
    <n v="64620.78"/>
    <s v="Isha Menon"/>
    <n v="38"/>
    <x v="2"/>
    <s v="UPI"/>
    <n v="5"/>
    <s v="Galaxy A51"/>
  </r>
  <r>
    <n v="3449"/>
    <n v="18"/>
    <n v="6"/>
    <n v="2024"/>
    <s v="Tuesday"/>
    <x v="1"/>
    <n v="4"/>
    <n v="29604.46"/>
    <s v="Pankaj Bhattacharya"/>
    <n v="32"/>
    <x v="3"/>
    <s v="Credit Card"/>
    <n v="2"/>
    <s v="Vivo Y51"/>
  </r>
  <r>
    <n v="3450"/>
    <n v="19"/>
    <n v="6"/>
    <n v="2024"/>
    <s v="Wednesday"/>
    <x v="4"/>
    <n v="6"/>
    <n v="39923.82"/>
    <s v="Mala Roy"/>
    <n v="47"/>
    <x v="1"/>
    <s v="Debit Card"/>
    <n v="5"/>
    <s v="iPhone 11"/>
  </r>
  <r>
    <n v="3451"/>
    <n v="19"/>
    <n v="6"/>
    <n v="2024"/>
    <s v="Wednesday"/>
    <x v="1"/>
    <n v="4"/>
    <n v="67513.919999999998"/>
    <s v="Monika Ahuja"/>
    <n v="47"/>
    <x v="1"/>
    <s v="Cash"/>
    <n v="5"/>
    <s v="Vivo Y51"/>
  </r>
  <r>
    <n v="3452"/>
    <n v="19"/>
    <n v="6"/>
    <n v="2024"/>
    <s v="Wednesday"/>
    <x v="4"/>
    <n v="2"/>
    <n v="54082.48"/>
    <s v="Neeta Solanki"/>
    <n v="25"/>
    <x v="1"/>
    <s v="Credit Card"/>
    <n v="4"/>
    <s v="iPhone SE"/>
  </r>
  <r>
    <n v="3453"/>
    <n v="19"/>
    <n v="6"/>
    <n v="2024"/>
    <s v="Wednesday"/>
    <x v="4"/>
    <n v="1"/>
    <n v="54864.42"/>
    <s v="Anjali Varma"/>
    <n v="41"/>
    <x v="0"/>
    <s v="Debit Card"/>
    <n v="3"/>
    <s v="iPhone 12"/>
  </r>
  <r>
    <n v="3454"/>
    <n v="20"/>
    <n v="6"/>
    <n v="2024"/>
    <s v="Thursday"/>
    <x v="1"/>
    <n v="1"/>
    <n v="25140.04"/>
    <s v="Gita Roy"/>
    <n v="36"/>
    <x v="13"/>
    <s v="Cash"/>
    <n v="4"/>
    <s v="Vivo S1"/>
  </r>
  <r>
    <n v="3455"/>
    <n v="20"/>
    <n v="6"/>
    <n v="2024"/>
    <s v="Thursday"/>
    <x v="0"/>
    <n v="8"/>
    <n v="34881.89"/>
    <s v="Sumit Malhotra"/>
    <n v="20"/>
    <x v="18"/>
    <s v="UPI"/>
    <n v="3"/>
    <s v="Mi 11"/>
  </r>
  <r>
    <n v="3456"/>
    <n v="20"/>
    <n v="6"/>
    <n v="2024"/>
    <s v="Thursday"/>
    <x v="2"/>
    <n v="4"/>
    <n v="14940.53"/>
    <s v="Vivek Mehta"/>
    <n v="32"/>
    <x v="1"/>
    <s v="UPI"/>
    <n v="2"/>
    <s v="OnePlus 8T"/>
  </r>
  <r>
    <n v="3457"/>
    <n v="20"/>
    <n v="6"/>
    <n v="2024"/>
    <s v="Thursday"/>
    <x v="3"/>
    <n v="5"/>
    <n v="46391.55"/>
    <s v="Bhavana Bhatnagar"/>
    <n v="53"/>
    <x v="2"/>
    <s v="Credit Card"/>
    <n v="3"/>
    <s v="Galaxy A51"/>
  </r>
  <r>
    <n v="3458"/>
    <n v="21"/>
    <n v="6"/>
    <n v="2024"/>
    <s v="Friday"/>
    <x v="2"/>
    <n v="8"/>
    <n v="16223.81"/>
    <s v="Devendra Rao"/>
    <n v="23"/>
    <x v="14"/>
    <s v="Cash"/>
    <n v="5"/>
    <s v="OnePlus 8T"/>
  </r>
  <r>
    <n v="3459"/>
    <n v="21"/>
    <n v="6"/>
    <n v="2024"/>
    <s v="Friday"/>
    <x v="3"/>
    <n v="7"/>
    <n v="60154.57"/>
    <s v="Pankaj Sheth"/>
    <n v="59"/>
    <x v="14"/>
    <s v="Debit Card"/>
    <n v="3"/>
    <s v="Galaxy Note 20"/>
  </r>
  <r>
    <n v="3460"/>
    <n v="21"/>
    <n v="6"/>
    <n v="2024"/>
    <s v="Friday"/>
    <x v="3"/>
    <n v="8"/>
    <n v="58873.23"/>
    <s v="Tanuja Teja"/>
    <n v="35"/>
    <x v="1"/>
    <s v="UPI"/>
    <n v="2"/>
    <s v="Galaxy S21"/>
  </r>
  <r>
    <n v="3461"/>
    <n v="21"/>
    <n v="6"/>
    <n v="2024"/>
    <s v="Friday"/>
    <x v="4"/>
    <n v="8"/>
    <n v="42016.31"/>
    <s v="Sunita Verma"/>
    <n v="55"/>
    <x v="14"/>
    <s v="UPI"/>
    <n v="2"/>
    <s v="iPhone 12"/>
  </r>
  <r>
    <n v="3462"/>
    <n v="22"/>
    <n v="6"/>
    <n v="2024"/>
    <s v="Saturday"/>
    <x v="3"/>
    <n v="6"/>
    <n v="18469.96"/>
    <s v="Sunita Mehta"/>
    <n v="36"/>
    <x v="2"/>
    <s v="Cash"/>
    <n v="4"/>
    <s v="Galaxy S21"/>
  </r>
  <r>
    <n v="3463"/>
    <n v="22"/>
    <n v="6"/>
    <n v="2024"/>
    <s v="Saturday"/>
    <x v="3"/>
    <n v="2"/>
    <n v="11534.74"/>
    <s v="Anjali Gupta"/>
    <n v="47"/>
    <x v="18"/>
    <s v="Debit Card"/>
    <n v="2"/>
    <s v="Galaxy S21"/>
  </r>
  <r>
    <n v="3464"/>
    <n v="22"/>
    <n v="6"/>
    <n v="2024"/>
    <s v="Saturday"/>
    <x v="1"/>
    <n v="6"/>
    <n v="57802.52"/>
    <s v="Sumit Goyal"/>
    <n v="30"/>
    <x v="1"/>
    <s v="UPI"/>
    <n v="5"/>
    <s v="Vivo V20"/>
  </r>
  <r>
    <n v="3465"/>
    <n v="22"/>
    <n v="6"/>
    <n v="2024"/>
    <s v="Saturday"/>
    <x v="2"/>
    <n v="1"/>
    <n v="46008.43"/>
    <s v="Rohan Roy"/>
    <n v="56"/>
    <x v="15"/>
    <s v="UPI"/>
    <n v="3"/>
    <s v="OnePlus 9"/>
  </r>
  <r>
    <n v="3466"/>
    <n v="23"/>
    <n v="6"/>
    <n v="2024"/>
    <s v="Sunday"/>
    <x v="1"/>
    <n v="1"/>
    <n v="52655.78"/>
    <s v="Yogesh Pathak"/>
    <n v="29"/>
    <x v="2"/>
    <s v="Credit Card"/>
    <n v="5"/>
    <s v="Vivo Y51"/>
  </r>
  <r>
    <n v="3467"/>
    <n v="23"/>
    <n v="6"/>
    <n v="2024"/>
    <s v="Sunday"/>
    <x v="3"/>
    <n v="3"/>
    <n v="28228.43"/>
    <s v="Pankaj Sheth"/>
    <n v="51"/>
    <x v="2"/>
    <s v="Debit Card"/>
    <n v="2"/>
    <s v="Galaxy Note 20"/>
  </r>
  <r>
    <n v="3468"/>
    <n v="23"/>
    <n v="6"/>
    <n v="2024"/>
    <s v="Sunday"/>
    <x v="4"/>
    <n v="3"/>
    <n v="40568.959999999999"/>
    <s v="Kavita Teja"/>
    <n v="29"/>
    <x v="15"/>
    <s v="UPI"/>
    <n v="3"/>
    <s v="iPhone 12"/>
  </r>
  <r>
    <n v="3469"/>
    <n v="23"/>
    <n v="6"/>
    <n v="2024"/>
    <s v="Sunday"/>
    <x v="1"/>
    <n v="5"/>
    <n v="54830.45"/>
    <s v="Krishna Patel"/>
    <n v="41"/>
    <x v="1"/>
    <s v="Cash"/>
    <n v="4"/>
    <s v="Vivo S1"/>
  </r>
  <r>
    <n v="3470"/>
    <n v="24"/>
    <n v="6"/>
    <n v="2024"/>
    <s v="Monday"/>
    <x v="1"/>
    <n v="1"/>
    <n v="37753.800000000003"/>
    <s v="Sunita Mathur"/>
    <n v="21"/>
    <x v="9"/>
    <s v="UPI"/>
    <n v="5"/>
    <s v="Vivo V20"/>
  </r>
  <r>
    <n v="3471"/>
    <n v="24"/>
    <n v="6"/>
    <n v="2024"/>
    <s v="Monday"/>
    <x v="0"/>
    <n v="6"/>
    <n v="46083.05"/>
    <s v="Lata Dutta"/>
    <n v="53"/>
    <x v="5"/>
    <s v="Debit Card"/>
    <n v="4"/>
    <s v="Mi 11"/>
  </r>
  <r>
    <n v="3472"/>
    <n v="24"/>
    <n v="6"/>
    <n v="2024"/>
    <s v="Monday"/>
    <x v="3"/>
    <n v="7"/>
    <n v="57383.7"/>
    <s v="Ramesh Mishra"/>
    <n v="31"/>
    <x v="2"/>
    <s v="Credit Card"/>
    <n v="5"/>
    <s v="Galaxy A51"/>
  </r>
  <r>
    <n v="3473"/>
    <n v="24"/>
    <n v="6"/>
    <n v="2024"/>
    <s v="Monday"/>
    <x v="4"/>
    <n v="3"/>
    <n v="22913.24"/>
    <s v="Krishna Rao"/>
    <n v="34"/>
    <x v="12"/>
    <s v="UPI"/>
    <n v="4"/>
    <s v="iPhone SE"/>
  </r>
  <r>
    <n v="3474"/>
    <n v="25"/>
    <n v="6"/>
    <n v="2024"/>
    <s v="Tuesday"/>
    <x v="1"/>
    <n v="4"/>
    <n v="13955.73"/>
    <s v="Sunita Luthra"/>
    <n v="20"/>
    <x v="12"/>
    <s v="Cash"/>
    <n v="3"/>
    <s v="Vivo S1"/>
  </r>
  <r>
    <n v="3475"/>
    <n v="25"/>
    <n v="6"/>
    <n v="2024"/>
    <s v="Tuesday"/>
    <x v="1"/>
    <n v="3"/>
    <n v="41909.410000000003"/>
    <s v="Bhavana Mehta"/>
    <n v="55"/>
    <x v="9"/>
    <s v="UPI"/>
    <n v="5"/>
    <s v="Vivo Y51"/>
  </r>
  <r>
    <n v="3476"/>
    <n v="25"/>
    <n v="6"/>
    <n v="2024"/>
    <s v="Tuesday"/>
    <x v="4"/>
    <n v="1"/>
    <n v="13727.55"/>
    <s v="Lata Joshi"/>
    <n v="40"/>
    <x v="9"/>
    <s v="Cash"/>
    <n v="4"/>
    <s v="iPhone SE"/>
  </r>
  <r>
    <n v="3477"/>
    <n v="25"/>
    <n v="6"/>
    <n v="2024"/>
    <s v="Tuesday"/>
    <x v="3"/>
    <n v="8"/>
    <n v="55993.440000000002"/>
    <s v="Anjali Kulkarni"/>
    <n v="30"/>
    <x v="2"/>
    <s v="Debit Card"/>
    <n v="4"/>
    <s v="Galaxy Note 20"/>
  </r>
  <r>
    <n v="3478"/>
    <n v="26"/>
    <n v="6"/>
    <n v="2024"/>
    <s v="Wednesday"/>
    <x v="0"/>
    <n v="2"/>
    <n v="53152.69"/>
    <s v="Rajesh Kapoor"/>
    <n v="26"/>
    <x v="1"/>
    <s v="Credit Card"/>
    <n v="5"/>
    <s v="Mi 11"/>
  </r>
  <r>
    <n v="3479"/>
    <n v="26"/>
    <n v="6"/>
    <n v="2024"/>
    <s v="Wednesday"/>
    <x v="1"/>
    <n v="1"/>
    <n v="62902.76"/>
    <s v="Nikhil Patel"/>
    <n v="38"/>
    <x v="16"/>
    <s v="Debit Card"/>
    <n v="3"/>
    <s v="Vivo V20"/>
  </r>
  <r>
    <n v="3480"/>
    <n v="26"/>
    <n v="6"/>
    <n v="2024"/>
    <s v="Wednesday"/>
    <x v="0"/>
    <n v="8"/>
    <n v="48373.73"/>
    <s v="Amit Ghosh"/>
    <n v="58"/>
    <x v="1"/>
    <s v="UPI"/>
    <n v="4"/>
    <s v="Mi 11"/>
  </r>
  <r>
    <n v="3481"/>
    <n v="26"/>
    <n v="6"/>
    <n v="2024"/>
    <s v="Wednesday"/>
    <x v="2"/>
    <n v="7"/>
    <n v="14031.85"/>
    <s v="Kiran Chaudhary"/>
    <n v="25"/>
    <x v="1"/>
    <s v="UPI"/>
    <n v="3"/>
    <s v="OnePlus Nord"/>
  </r>
  <r>
    <n v="3482"/>
    <n v="27"/>
    <n v="6"/>
    <n v="2024"/>
    <s v="Thursday"/>
    <x v="3"/>
    <n v="7"/>
    <n v="25189.13"/>
    <s v="Anand Joshi"/>
    <n v="34"/>
    <x v="3"/>
    <s v="Credit Card"/>
    <n v="2"/>
    <s v="Galaxy Note 20"/>
  </r>
  <r>
    <n v="3483"/>
    <n v="27"/>
    <n v="6"/>
    <n v="2024"/>
    <s v="Thursday"/>
    <x v="2"/>
    <n v="4"/>
    <n v="58475.91"/>
    <s v="Nikhil Menon"/>
    <n v="33"/>
    <x v="2"/>
    <s v="Cash"/>
    <n v="5"/>
    <s v="OnePlus 8T"/>
  </r>
  <r>
    <n v="3484"/>
    <n v="27"/>
    <n v="6"/>
    <n v="2024"/>
    <s v="Thursday"/>
    <x v="2"/>
    <n v="9"/>
    <n v="20027.95"/>
    <s v="Tapan Mishra"/>
    <n v="33"/>
    <x v="11"/>
    <s v="Debit Card"/>
    <n v="5"/>
    <s v="OnePlus 9"/>
  </r>
  <r>
    <n v="3485"/>
    <n v="27"/>
    <n v="6"/>
    <n v="2024"/>
    <s v="Thursday"/>
    <x v="2"/>
    <n v="6"/>
    <n v="51908.83"/>
    <s v="Vivek Shah"/>
    <n v="45"/>
    <x v="2"/>
    <s v="Cash"/>
    <n v="5"/>
    <s v="OnePlus 9"/>
  </r>
  <r>
    <n v="3486"/>
    <n v="28"/>
    <n v="6"/>
    <n v="2024"/>
    <s v="Friday"/>
    <x v="3"/>
    <n v="2"/>
    <n v="56815.56"/>
    <s v="Priyanka Sharma"/>
    <n v="33"/>
    <x v="10"/>
    <s v="UPI"/>
    <n v="3"/>
    <s v="Galaxy Note 20"/>
  </r>
  <r>
    <n v="3487"/>
    <n v="28"/>
    <n v="6"/>
    <n v="2024"/>
    <s v="Friday"/>
    <x v="3"/>
    <n v="1"/>
    <n v="29806.71"/>
    <s v="Shruti Mehta"/>
    <n v="31"/>
    <x v="17"/>
    <s v="Cash"/>
    <n v="4"/>
    <s v="Galaxy Note 20"/>
  </r>
  <r>
    <n v="3488"/>
    <n v="28"/>
    <n v="6"/>
    <n v="2024"/>
    <s v="Friday"/>
    <x v="4"/>
    <n v="1"/>
    <n v="29337.85"/>
    <s v="Sneha Mehta"/>
    <n v="55"/>
    <x v="7"/>
    <s v="Debit Card"/>
    <n v="4"/>
    <s v="iPhone 11"/>
  </r>
  <r>
    <n v="3489"/>
    <n v="28"/>
    <n v="6"/>
    <n v="2024"/>
    <s v="Friday"/>
    <x v="0"/>
    <n v="9"/>
    <n v="43468.160000000003"/>
    <s v="Rohan Kapoor"/>
    <n v="37"/>
    <x v="11"/>
    <s v="Cash"/>
    <n v="3"/>
    <s v="Redmi Note 10"/>
  </r>
  <r>
    <n v="3490"/>
    <n v="29"/>
    <n v="6"/>
    <n v="2024"/>
    <s v="Saturday"/>
    <x v="0"/>
    <n v="4"/>
    <n v="61677.18"/>
    <s v="Umesh Goyal"/>
    <n v="58"/>
    <x v="2"/>
    <s v="UPI"/>
    <n v="3"/>
    <s v="Redmi Note 10"/>
  </r>
  <r>
    <n v="3491"/>
    <n v="29"/>
    <n v="6"/>
    <n v="2024"/>
    <s v="Saturday"/>
    <x v="4"/>
    <n v="5"/>
    <n v="23434.37"/>
    <s v="Gita Rathod"/>
    <n v="51"/>
    <x v="2"/>
    <s v="Debit Card"/>
    <n v="2"/>
    <s v="iPhone SE"/>
  </r>
  <r>
    <n v="3492"/>
    <n v="29"/>
    <n v="6"/>
    <n v="2024"/>
    <s v="Saturday"/>
    <x v="4"/>
    <n v="3"/>
    <n v="66475.490000000005"/>
    <s v="Deepika Patel"/>
    <n v="46"/>
    <x v="1"/>
    <s v="Cash"/>
    <n v="5"/>
    <s v="iPhone SE"/>
  </r>
  <r>
    <n v="3493"/>
    <n v="29"/>
    <n v="6"/>
    <n v="2024"/>
    <s v="Saturday"/>
    <x v="2"/>
    <n v="4"/>
    <n v="45947.12"/>
    <s v="Devendra Yadav"/>
    <n v="20"/>
    <x v="14"/>
    <s v="Cash"/>
    <n v="5"/>
    <s v="OnePlus Nord"/>
  </r>
  <r>
    <n v="3494"/>
    <n v="30"/>
    <n v="6"/>
    <n v="2024"/>
    <s v="Sunday"/>
    <x v="4"/>
    <n v="8"/>
    <n v="69527.59"/>
    <s v="Sunita Luthra"/>
    <n v="27"/>
    <x v="2"/>
    <s v="Debit Card"/>
    <n v="5"/>
    <s v="iPhone SE"/>
  </r>
  <r>
    <n v="3495"/>
    <n v="30"/>
    <n v="6"/>
    <n v="2024"/>
    <s v="Sunday"/>
    <x v="1"/>
    <n v="4"/>
    <n v="15376.82"/>
    <s v="Anita Kulkarni"/>
    <n v="37"/>
    <x v="17"/>
    <s v="UPI"/>
    <n v="4"/>
    <s v="Vivo V20"/>
  </r>
  <r>
    <n v="3496"/>
    <n v="30"/>
    <n v="6"/>
    <n v="2024"/>
    <s v="Sunday"/>
    <x v="0"/>
    <n v="9"/>
    <n v="17593.73"/>
    <s v="Sanjay Ghosh"/>
    <n v="19"/>
    <x v="1"/>
    <s v="Debit Card"/>
    <n v="5"/>
    <s v="Redmi Note 10"/>
  </r>
  <r>
    <n v="3497"/>
    <n v="1"/>
    <n v="7"/>
    <n v="2024"/>
    <s v="Monday"/>
    <x v="4"/>
    <n v="9"/>
    <n v="59598.51"/>
    <s v="Neeta Arora"/>
    <n v="44"/>
    <x v="3"/>
    <s v="UPI"/>
    <n v="4"/>
    <s v="iPhone 11"/>
  </r>
  <r>
    <n v="3498"/>
    <n v="1"/>
    <n v="7"/>
    <n v="2024"/>
    <s v="Monday"/>
    <x v="1"/>
    <n v="6"/>
    <n v="61885.35"/>
    <s v="Isha Gupta"/>
    <n v="49"/>
    <x v="1"/>
    <s v="Cash"/>
    <n v="4"/>
    <s v="Vivo S1"/>
  </r>
  <r>
    <n v="3499"/>
    <n v="1"/>
    <n v="7"/>
    <n v="2024"/>
    <s v="Monday"/>
    <x v="1"/>
    <n v="2"/>
    <n v="36727.519999999997"/>
    <s v="Rohan Dutta"/>
    <n v="27"/>
    <x v="7"/>
    <s v="Debit Card"/>
    <n v="2"/>
    <s v="Vivo Y51"/>
  </r>
  <r>
    <n v="3500"/>
    <n v="2"/>
    <n v="7"/>
    <n v="2024"/>
    <s v="Tuesday"/>
    <x v="1"/>
    <n v="7"/>
    <n v="52844.27"/>
    <s v="Umesh Reddy"/>
    <n v="57"/>
    <x v="0"/>
    <s v="UPI"/>
    <n v="3"/>
    <s v="Vivo Y51"/>
  </r>
  <r>
    <n v="3501"/>
    <n v="2"/>
    <n v="7"/>
    <n v="2024"/>
    <s v="Tuesday"/>
    <x v="1"/>
    <n v="9"/>
    <n v="62053.440000000002"/>
    <s v="Isha Desai"/>
    <n v="34"/>
    <x v="1"/>
    <s v="Debit Card"/>
    <n v="3"/>
    <s v="Vivo V20"/>
  </r>
  <r>
    <n v="3502"/>
    <n v="2"/>
    <n v="7"/>
    <n v="2024"/>
    <s v="Tuesday"/>
    <x v="2"/>
    <n v="6"/>
    <n v="12587.67"/>
    <s v="Priyanka Verma"/>
    <n v="50"/>
    <x v="1"/>
    <s v="Cash"/>
    <n v="3"/>
    <s v="OnePlus 8T"/>
  </r>
  <r>
    <n v="3503"/>
    <n v="2"/>
    <n v="7"/>
    <n v="2024"/>
    <s v="Tuesday"/>
    <x v="1"/>
    <n v="3"/>
    <n v="44437.03"/>
    <s v="Monika Mehta"/>
    <n v="23"/>
    <x v="7"/>
    <s v="Debit Card"/>
    <n v="5"/>
    <s v="Vivo Y51"/>
  </r>
  <r>
    <n v="3504"/>
    <n v="3"/>
    <n v="7"/>
    <n v="2024"/>
    <s v="Wednesday"/>
    <x v="2"/>
    <n v="7"/>
    <n v="61208.84"/>
    <s v="Reena Das"/>
    <n v="56"/>
    <x v="2"/>
    <s v="Cash"/>
    <n v="3"/>
    <s v="OnePlus 9"/>
  </r>
  <r>
    <n v="3505"/>
    <n v="3"/>
    <n v="7"/>
    <n v="2024"/>
    <s v="Wednesday"/>
    <x v="2"/>
    <n v="5"/>
    <n v="33889.300000000003"/>
    <s v="Krishna Patel"/>
    <n v="35"/>
    <x v="18"/>
    <s v="Cash"/>
    <n v="5"/>
    <s v="OnePlus 9"/>
  </r>
  <r>
    <n v="3506"/>
    <n v="3"/>
    <n v="7"/>
    <n v="2024"/>
    <s v="Wednesday"/>
    <x v="1"/>
    <n v="1"/>
    <n v="28143.02"/>
    <s v="Rohan Sheth"/>
    <n v="26"/>
    <x v="1"/>
    <s v="Cash"/>
    <n v="5"/>
    <s v="Vivo V20"/>
  </r>
  <r>
    <n v="3507"/>
    <n v="3"/>
    <n v="7"/>
    <n v="2024"/>
    <s v="Wednesday"/>
    <x v="0"/>
    <n v="3"/>
    <n v="57742.400000000001"/>
    <s v="Navin Kaur"/>
    <n v="25"/>
    <x v="9"/>
    <s v="UPI"/>
    <n v="5"/>
    <s v="Redmi Note 10"/>
  </r>
  <r>
    <n v="3508"/>
    <n v="4"/>
    <n v="7"/>
    <n v="2024"/>
    <s v="Thursday"/>
    <x v="1"/>
    <n v="5"/>
    <n v="30147.200000000001"/>
    <s v="Arun Teja"/>
    <n v="42"/>
    <x v="11"/>
    <s v="UPI"/>
    <n v="4"/>
    <s v="Vivo S1"/>
  </r>
  <r>
    <n v="3509"/>
    <n v="4"/>
    <n v="7"/>
    <n v="2024"/>
    <s v="Thursday"/>
    <x v="1"/>
    <n v="7"/>
    <n v="10190.459999999999"/>
    <s v="Sachin Kaur"/>
    <n v="48"/>
    <x v="16"/>
    <s v="Credit Card"/>
    <n v="2"/>
    <s v="Vivo S1"/>
  </r>
  <r>
    <n v="3510"/>
    <n v="4"/>
    <n v="7"/>
    <n v="2024"/>
    <s v="Thursday"/>
    <x v="1"/>
    <n v="3"/>
    <n v="67574.36"/>
    <s v="Rohan Patel"/>
    <n v="59"/>
    <x v="0"/>
    <s v="UPI"/>
    <n v="2"/>
    <s v="Vivo S1"/>
  </r>
  <r>
    <n v="3511"/>
    <n v="5"/>
    <n v="7"/>
    <n v="2024"/>
    <s v="Friday"/>
    <x v="0"/>
    <n v="6"/>
    <n v="45527.39"/>
    <s v="Pooja Arora"/>
    <n v="21"/>
    <x v="8"/>
    <s v="Credit Card"/>
    <n v="4"/>
    <s v="Mi 11"/>
  </r>
  <r>
    <n v="3512"/>
    <n v="5"/>
    <n v="7"/>
    <n v="2024"/>
    <s v="Friday"/>
    <x v="3"/>
    <n v="5"/>
    <n v="59171.08"/>
    <s v="Lata Shah"/>
    <n v="37"/>
    <x v="11"/>
    <s v="Debit Card"/>
    <n v="5"/>
    <s v="Galaxy A51"/>
  </r>
  <r>
    <n v="3513"/>
    <n v="5"/>
    <n v="7"/>
    <n v="2024"/>
    <s v="Friday"/>
    <x v="3"/>
    <n v="1"/>
    <n v="59518.09"/>
    <s v="Nikhil Luthra"/>
    <n v="45"/>
    <x v="12"/>
    <s v="Cash"/>
    <n v="2"/>
    <s v="Galaxy S21"/>
  </r>
  <r>
    <n v="3514"/>
    <n v="5"/>
    <n v="7"/>
    <n v="2024"/>
    <s v="Friday"/>
    <x v="2"/>
    <n v="6"/>
    <n v="13984.63"/>
    <s v="Rajesh Siddiqui"/>
    <n v="57"/>
    <x v="16"/>
    <s v="UPI"/>
    <n v="4"/>
    <s v="OnePlus Nord"/>
  </r>
  <r>
    <n v="3515"/>
    <n v="6"/>
    <n v="7"/>
    <n v="2024"/>
    <s v="Saturday"/>
    <x v="2"/>
    <n v="8"/>
    <n v="20251.61"/>
    <s v="Rajesh Nambiar"/>
    <n v="18"/>
    <x v="7"/>
    <s v="Cash"/>
    <n v="2"/>
    <s v="OnePlus 9"/>
  </r>
  <r>
    <n v="3516"/>
    <n v="6"/>
    <n v="7"/>
    <n v="2024"/>
    <s v="Saturday"/>
    <x v="0"/>
    <n v="1"/>
    <n v="28667.24"/>
    <s v="Anita Mehta"/>
    <n v="57"/>
    <x v="13"/>
    <s v="Credit Card"/>
    <n v="5"/>
    <s v="Redmi 9"/>
  </r>
  <r>
    <n v="3517"/>
    <n v="6"/>
    <n v="7"/>
    <n v="2024"/>
    <s v="Saturday"/>
    <x v="4"/>
    <n v="2"/>
    <n v="29241.96"/>
    <s v="Jyoti Jain"/>
    <n v="40"/>
    <x v="1"/>
    <s v="UPI"/>
    <n v="2"/>
    <s v="iPhone SE"/>
  </r>
  <r>
    <n v="3518"/>
    <n v="7"/>
    <n v="7"/>
    <n v="2024"/>
    <s v="Sunday"/>
    <x v="3"/>
    <n v="4"/>
    <n v="49527.17"/>
    <s v="Vijay Rao"/>
    <n v="30"/>
    <x v="1"/>
    <s v="UPI"/>
    <n v="5"/>
    <s v="Galaxy S21"/>
  </r>
  <r>
    <n v="3519"/>
    <n v="7"/>
    <n v="7"/>
    <n v="2024"/>
    <s v="Sunday"/>
    <x v="2"/>
    <n v="2"/>
    <n v="47387.98"/>
    <s v="Ravi Siddiqui"/>
    <n v="33"/>
    <x v="1"/>
    <s v="UPI"/>
    <n v="5"/>
    <s v="OnePlus 9"/>
  </r>
  <r>
    <n v="3520"/>
    <n v="7"/>
    <n v="7"/>
    <n v="2024"/>
    <s v="Sunday"/>
    <x v="3"/>
    <n v="9"/>
    <n v="39675.39"/>
    <s v="Vivek Sheth"/>
    <n v="43"/>
    <x v="14"/>
    <s v="UPI"/>
    <n v="2"/>
    <s v="Galaxy Note 20"/>
  </r>
  <r>
    <n v="3521"/>
    <n v="8"/>
    <n v="7"/>
    <n v="2024"/>
    <s v="Monday"/>
    <x v="0"/>
    <n v="8"/>
    <n v="22675.82"/>
    <s v="Manoj Luthra"/>
    <n v="48"/>
    <x v="10"/>
    <s v="Cash"/>
    <n v="2"/>
    <s v="Mi 11"/>
  </r>
  <r>
    <n v="3522"/>
    <n v="8"/>
    <n v="7"/>
    <n v="2024"/>
    <s v="Monday"/>
    <x v="0"/>
    <n v="8"/>
    <n v="32919.01"/>
    <s v="Vivek Prasad"/>
    <n v="18"/>
    <x v="7"/>
    <s v="UPI"/>
    <n v="5"/>
    <s v="Mi 11"/>
  </r>
  <r>
    <n v="3523"/>
    <n v="8"/>
    <n v="7"/>
    <n v="2024"/>
    <s v="Monday"/>
    <x v="4"/>
    <n v="4"/>
    <n v="42615.64"/>
    <s v="Bina Das"/>
    <n v="34"/>
    <x v="6"/>
    <s v="Credit Card"/>
    <n v="2"/>
    <s v="iPhone SE"/>
  </r>
  <r>
    <n v="3524"/>
    <n v="9"/>
    <n v="7"/>
    <n v="2024"/>
    <s v="Tuesday"/>
    <x v="4"/>
    <n v="5"/>
    <n v="38079.120000000003"/>
    <s v="Bina Roy"/>
    <n v="33"/>
    <x v="1"/>
    <s v="UPI"/>
    <n v="5"/>
    <s v="iPhone SE"/>
  </r>
  <r>
    <n v="3525"/>
    <n v="9"/>
    <n v="7"/>
    <n v="2024"/>
    <s v="Tuesday"/>
    <x v="0"/>
    <n v="4"/>
    <n v="17637.55"/>
    <s v="Prashant Arora"/>
    <n v="54"/>
    <x v="2"/>
    <s v="Credit Card"/>
    <n v="3"/>
    <s v="Redmi Note 10"/>
  </r>
  <r>
    <n v="3526"/>
    <n v="9"/>
    <n v="7"/>
    <n v="2024"/>
    <s v="Tuesday"/>
    <x v="2"/>
    <n v="9"/>
    <n v="48970.63"/>
    <s v="Gita Rao"/>
    <n v="27"/>
    <x v="6"/>
    <s v="Credit Card"/>
    <n v="3"/>
    <s v="OnePlus 9"/>
  </r>
  <r>
    <n v="3527"/>
    <n v="10"/>
    <n v="7"/>
    <n v="2024"/>
    <s v="Wednesday"/>
    <x v="3"/>
    <n v="2"/>
    <n v="14383.11"/>
    <s v="Anita Kumar"/>
    <n v="55"/>
    <x v="2"/>
    <s v="Cash"/>
    <n v="4"/>
    <s v="Galaxy Note 20"/>
  </r>
  <r>
    <n v="3528"/>
    <n v="10"/>
    <n v="7"/>
    <n v="2024"/>
    <s v="Wednesday"/>
    <x v="1"/>
    <n v="8"/>
    <n v="32691.68"/>
    <s v="Sneha Patel"/>
    <n v="48"/>
    <x v="1"/>
    <s v="UPI"/>
    <n v="3"/>
    <s v="Vivo V20"/>
  </r>
  <r>
    <n v="3529"/>
    <n v="10"/>
    <n v="7"/>
    <n v="2024"/>
    <s v="Wednesday"/>
    <x v="4"/>
    <n v="2"/>
    <n v="52601.760000000002"/>
    <s v="Reena Arora"/>
    <n v="27"/>
    <x v="13"/>
    <s v="Credit Card"/>
    <n v="5"/>
    <s v="iPhone SE"/>
  </r>
  <r>
    <n v="3530"/>
    <n v="11"/>
    <n v="7"/>
    <n v="2024"/>
    <s v="Thursday"/>
    <x v="1"/>
    <n v="1"/>
    <n v="11201.41"/>
    <s v="Reena Das"/>
    <n v="51"/>
    <x v="18"/>
    <s v="UPI"/>
    <n v="3"/>
    <s v="Vivo V20"/>
  </r>
  <r>
    <n v="3531"/>
    <n v="11"/>
    <n v="7"/>
    <n v="2024"/>
    <s v="Thursday"/>
    <x v="2"/>
    <n v="3"/>
    <n v="44198.97"/>
    <s v="Harish Pillai"/>
    <n v="23"/>
    <x v="9"/>
    <s v="Cash"/>
    <n v="3"/>
    <s v="OnePlus 9"/>
  </r>
  <r>
    <n v="3532"/>
    <n v="11"/>
    <n v="7"/>
    <n v="2024"/>
    <s v="Thursday"/>
    <x v="4"/>
    <n v="9"/>
    <n v="30071.26"/>
    <s v="Namita Patel"/>
    <n v="45"/>
    <x v="8"/>
    <s v="Cash"/>
    <n v="5"/>
    <s v="iPhone 12"/>
  </r>
  <r>
    <n v="3533"/>
    <n v="11"/>
    <n v="7"/>
    <n v="2024"/>
    <s v="Thursday"/>
    <x v="1"/>
    <n v="3"/>
    <n v="10529.91"/>
    <s v="Radha Pathak"/>
    <n v="45"/>
    <x v="1"/>
    <s v="UPI"/>
    <n v="5"/>
    <s v="Vivo V20"/>
  </r>
  <r>
    <n v="3534"/>
    <n v="12"/>
    <n v="7"/>
    <n v="2024"/>
    <s v="Friday"/>
    <x v="2"/>
    <n v="9"/>
    <n v="21423"/>
    <s v="Neeta Ghosh"/>
    <n v="30"/>
    <x v="11"/>
    <s v="Credit Card"/>
    <n v="3"/>
    <s v="OnePlus 9"/>
  </r>
  <r>
    <n v="3535"/>
    <n v="12"/>
    <n v="7"/>
    <n v="2024"/>
    <s v="Friday"/>
    <x v="3"/>
    <n v="7"/>
    <n v="66456.77"/>
    <s v="Sumit Sharma"/>
    <n v="58"/>
    <x v="1"/>
    <s v="Debit Card"/>
    <n v="4"/>
    <s v="Galaxy Note 20"/>
  </r>
  <r>
    <n v="3536"/>
    <n v="12"/>
    <n v="7"/>
    <n v="2024"/>
    <s v="Friday"/>
    <x v="2"/>
    <n v="1"/>
    <n v="41268.93"/>
    <s v="Vivek Kaur"/>
    <n v="29"/>
    <x v="14"/>
    <s v="Debit Card"/>
    <n v="3"/>
    <s v="OnePlus 8T"/>
  </r>
  <r>
    <n v="3537"/>
    <n v="13"/>
    <n v="7"/>
    <n v="2024"/>
    <s v="Saturday"/>
    <x v="4"/>
    <n v="5"/>
    <n v="69833.63"/>
    <s v="Rajesh Sheth"/>
    <n v="57"/>
    <x v="10"/>
    <s v="Cash"/>
    <n v="3"/>
    <s v="iPhone SE"/>
  </r>
  <r>
    <n v="3538"/>
    <n v="13"/>
    <n v="7"/>
    <n v="2024"/>
    <s v="Saturday"/>
    <x v="0"/>
    <n v="9"/>
    <n v="41489.01"/>
    <s v="Manoj Thakur"/>
    <n v="19"/>
    <x v="5"/>
    <s v="Credit Card"/>
    <n v="5"/>
    <s v="Mi 11"/>
  </r>
  <r>
    <n v="3539"/>
    <n v="13"/>
    <n v="7"/>
    <n v="2024"/>
    <s v="Saturday"/>
    <x v="3"/>
    <n v="3"/>
    <n v="42636.18"/>
    <s v="Yogesh Rao"/>
    <n v="25"/>
    <x v="8"/>
    <s v="Debit Card"/>
    <n v="5"/>
    <s v="Galaxy S21"/>
  </r>
  <r>
    <n v="3540"/>
    <n v="13"/>
    <n v="7"/>
    <n v="2024"/>
    <s v="Saturday"/>
    <x v="1"/>
    <n v="9"/>
    <n v="33510.58"/>
    <s v="Aditya Jain"/>
    <n v="59"/>
    <x v="1"/>
    <s v="Credit Card"/>
    <n v="4"/>
    <s v="Vivo Y51"/>
  </r>
  <r>
    <n v="3541"/>
    <n v="14"/>
    <n v="7"/>
    <n v="2024"/>
    <s v="Sunday"/>
    <x v="4"/>
    <n v="5"/>
    <n v="28602.43"/>
    <s v="Yogesh Dutta"/>
    <n v="26"/>
    <x v="15"/>
    <s v="UPI"/>
    <n v="2"/>
    <s v="iPhone SE"/>
  </r>
  <r>
    <n v="3542"/>
    <n v="14"/>
    <n v="7"/>
    <n v="2024"/>
    <s v="Sunday"/>
    <x v="0"/>
    <n v="9"/>
    <n v="25092.73"/>
    <s v="Sneha Arora"/>
    <n v="25"/>
    <x v="1"/>
    <s v="Cash"/>
    <n v="5"/>
    <s v="Mi 11"/>
  </r>
  <r>
    <n v="3543"/>
    <n v="14"/>
    <n v="7"/>
    <n v="2024"/>
    <s v="Sunday"/>
    <x v="2"/>
    <n v="6"/>
    <n v="30605.24"/>
    <s v="Rajesh Desai"/>
    <n v="20"/>
    <x v="10"/>
    <s v="UPI"/>
    <n v="2"/>
    <s v="OnePlus Nord"/>
  </r>
  <r>
    <n v="3544"/>
    <n v="14"/>
    <n v="7"/>
    <n v="2024"/>
    <s v="Sunday"/>
    <x v="0"/>
    <n v="9"/>
    <n v="37591.06"/>
    <s v="Kiran Srivastava"/>
    <n v="26"/>
    <x v="10"/>
    <s v="UPI"/>
    <n v="4"/>
    <s v="Redmi 9"/>
  </r>
  <r>
    <n v="3545"/>
    <n v="15"/>
    <n v="7"/>
    <n v="2024"/>
    <s v="Monday"/>
    <x v="4"/>
    <n v="7"/>
    <n v="21519.52"/>
    <s v="Sanjay Sheth"/>
    <n v="30"/>
    <x v="0"/>
    <s v="UPI"/>
    <n v="3"/>
    <s v="iPhone SE"/>
  </r>
  <r>
    <n v="3546"/>
    <n v="15"/>
    <n v="7"/>
    <n v="2024"/>
    <s v="Monday"/>
    <x v="4"/>
    <n v="7"/>
    <n v="23492.51"/>
    <s v="Ravi Bhattacharya"/>
    <n v="26"/>
    <x v="11"/>
    <s v="Credit Card"/>
    <n v="3"/>
    <s v="iPhone 12"/>
  </r>
  <r>
    <n v="3547"/>
    <n v="15"/>
    <n v="7"/>
    <n v="2024"/>
    <s v="Monday"/>
    <x v="0"/>
    <n v="8"/>
    <n v="26292.69"/>
    <s v="Manoj Kaur"/>
    <n v="48"/>
    <x v="17"/>
    <s v="Debit Card"/>
    <n v="2"/>
    <s v="Redmi 9"/>
  </r>
  <r>
    <n v="3548"/>
    <n v="16"/>
    <n v="7"/>
    <n v="2024"/>
    <s v="Tuesday"/>
    <x v="2"/>
    <n v="7"/>
    <n v="36955.589999999997"/>
    <s v="Ravi Gupta"/>
    <n v="42"/>
    <x v="5"/>
    <s v="UPI"/>
    <n v="4"/>
    <s v="OnePlus 8T"/>
  </r>
  <r>
    <n v="3549"/>
    <n v="16"/>
    <n v="7"/>
    <n v="2024"/>
    <s v="Tuesday"/>
    <x v="0"/>
    <n v="9"/>
    <n v="49168.800000000003"/>
    <s v="Kavita Nair"/>
    <n v="25"/>
    <x v="11"/>
    <s v="Cash"/>
    <n v="4"/>
    <s v="Mi 11"/>
  </r>
  <r>
    <n v="3550"/>
    <n v="16"/>
    <n v="7"/>
    <n v="2024"/>
    <s v="Tuesday"/>
    <x v="4"/>
    <n v="9"/>
    <n v="61368.77"/>
    <s v="Anita Kumar"/>
    <n v="48"/>
    <x v="2"/>
    <s v="Credit Card"/>
    <n v="5"/>
    <s v="iPhone 11"/>
  </r>
  <r>
    <n v="3551"/>
    <n v="17"/>
    <n v="7"/>
    <n v="2024"/>
    <s v="Wednesday"/>
    <x v="4"/>
    <n v="6"/>
    <n v="27227.91"/>
    <s v="Anjali Desai"/>
    <n v="48"/>
    <x v="1"/>
    <s v="Debit Card"/>
    <n v="2"/>
    <s v="iPhone SE"/>
  </r>
  <r>
    <n v="3552"/>
    <n v="17"/>
    <n v="7"/>
    <n v="2024"/>
    <s v="Wednesday"/>
    <x v="1"/>
    <n v="7"/>
    <n v="21023.7"/>
    <s v="Namita Goyal"/>
    <n v="34"/>
    <x v="10"/>
    <s v="UPI"/>
    <n v="5"/>
    <s v="Vivo S1"/>
  </r>
  <r>
    <n v="3553"/>
    <n v="17"/>
    <n v="7"/>
    <n v="2024"/>
    <s v="Wednesday"/>
    <x v="1"/>
    <n v="2"/>
    <n v="32730.85"/>
    <s v="Vivek Ghosh"/>
    <n v="36"/>
    <x v="1"/>
    <s v="Cash"/>
    <n v="2"/>
    <s v="Vivo V20"/>
  </r>
  <r>
    <n v="3554"/>
    <n v="17"/>
    <n v="7"/>
    <n v="2024"/>
    <s v="Wednesday"/>
    <x v="3"/>
    <n v="9"/>
    <n v="63662.98"/>
    <s v="Meena Desai"/>
    <n v="20"/>
    <x v="13"/>
    <s v="UPI"/>
    <n v="5"/>
    <s v="Galaxy A51"/>
  </r>
  <r>
    <n v="3555"/>
    <n v="18"/>
    <n v="7"/>
    <n v="2024"/>
    <s v="Thursday"/>
    <x v="4"/>
    <n v="1"/>
    <n v="10591.64"/>
    <s v="Lalita Sheth"/>
    <n v="47"/>
    <x v="1"/>
    <s v="Debit Card"/>
    <n v="5"/>
    <s v="iPhone 11"/>
  </r>
  <r>
    <n v="3556"/>
    <n v="18"/>
    <n v="7"/>
    <n v="2024"/>
    <s v="Thursday"/>
    <x v="1"/>
    <n v="1"/>
    <n v="50672.12"/>
    <s v="Ramesh Sharma"/>
    <n v="27"/>
    <x v="15"/>
    <s v="Debit Card"/>
    <n v="4"/>
    <s v="Vivo V20"/>
  </r>
  <r>
    <n v="3557"/>
    <n v="18"/>
    <n v="7"/>
    <n v="2024"/>
    <s v="Thursday"/>
    <x v="0"/>
    <n v="3"/>
    <n v="38629.599999999999"/>
    <s v="Monika Bhatnagar"/>
    <n v="46"/>
    <x v="16"/>
    <s v="UPI"/>
    <n v="4"/>
    <s v="Mi 11"/>
  </r>
  <r>
    <n v="3558"/>
    <n v="19"/>
    <n v="7"/>
    <n v="2024"/>
    <s v="Friday"/>
    <x v="2"/>
    <n v="6"/>
    <n v="19662.77"/>
    <s v="Anjali Jain"/>
    <n v="57"/>
    <x v="1"/>
    <s v="UPI"/>
    <n v="3"/>
    <s v="OnePlus 9"/>
  </r>
  <r>
    <n v="3559"/>
    <n v="19"/>
    <n v="7"/>
    <n v="2024"/>
    <s v="Friday"/>
    <x v="0"/>
    <n v="5"/>
    <n v="29261.29"/>
    <s v="Bhavana Mehta"/>
    <n v="35"/>
    <x v="1"/>
    <s v="Credit Card"/>
    <n v="3"/>
    <s v="Redmi 9"/>
  </r>
  <r>
    <n v="3560"/>
    <n v="19"/>
    <n v="7"/>
    <n v="2024"/>
    <s v="Friday"/>
    <x v="2"/>
    <n v="2"/>
    <n v="23497"/>
    <s v="Vijay Varma"/>
    <n v="29"/>
    <x v="2"/>
    <s v="Debit Card"/>
    <n v="4"/>
    <s v="OnePlus 9"/>
  </r>
  <r>
    <n v="3561"/>
    <n v="20"/>
    <n v="7"/>
    <n v="2024"/>
    <s v="Saturday"/>
    <x v="1"/>
    <n v="9"/>
    <n v="62669.93"/>
    <s v="Pooja Rao"/>
    <n v="40"/>
    <x v="6"/>
    <s v="Debit Card"/>
    <n v="4"/>
    <s v="Vivo S1"/>
  </r>
  <r>
    <n v="3562"/>
    <n v="20"/>
    <n v="7"/>
    <n v="2024"/>
    <s v="Saturday"/>
    <x v="3"/>
    <n v="4"/>
    <n v="38912.400000000001"/>
    <s v="Vivek Patel"/>
    <n v="28"/>
    <x v="1"/>
    <s v="UPI"/>
    <n v="5"/>
    <s v="Galaxy A51"/>
  </r>
  <r>
    <n v="3563"/>
    <n v="20"/>
    <n v="7"/>
    <n v="2024"/>
    <s v="Saturday"/>
    <x v="0"/>
    <n v="4"/>
    <n v="43785.66"/>
    <s v="Aditya Nair"/>
    <n v="26"/>
    <x v="1"/>
    <s v="Cash"/>
    <n v="3"/>
    <s v="Mi 11"/>
  </r>
  <r>
    <n v="3564"/>
    <n v="20"/>
    <n v="7"/>
    <n v="2024"/>
    <s v="Saturday"/>
    <x v="0"/>
    <n v="5"/>
    <n v="45621.26"/>
    <s v="Umesh Kulkarni"/>
    <n v="41"/>
    <x v="2"/>
    <s v="UPI"/>
    <n v="4"/>
    <s v="Redmi 9"/>
  </r>
  <r>
    <n v="3565"/>
    <n v="21"/>
    <n v="7"/>
    <n v="2024"/>
    <s v="Sunday"/>
    <x v="0"/>
    <n v="8"/>
    <n v="48377.03"/>
    <s v="Sunil Sheth"/>
    <n v="42"/>
    <x v="2"/>
    <s v="UPI"/>
    <n v="2"/>
    <s v="Redmi 9"/>
  </r>
  <r>
    <n v="3566"/>
    <n v="21"/>
    <n v="7"/>
    <n v="2024"/>
    <s v="Sunday"/>
    <x v="2"/>
    <n v="4"/>
    <n v="39733.339999999997"/>
    <s v="Harish Solanki"/>
    <n v="42"/>
    <x v="10"/>
    <s v="Debit Card"/>
    <n v="2"/>
    <s v="OnePlus Nord"/>
  </r>
  <r>
    <n v="3567"/>
    <n v="21"/>
    <n v="7"/>
    <n v="2024"/>
    <s v="Sunday"/>
    <x v="1"/>
    <n v="5"/>
    <n v="11072.41"/>
    <s v="Namita Das"/>
    <n v="26"/>
    <x v="1"/>
    <s v="Credit Card"/>
    <n v="3"/>
    <s v="Vivo Y51"/>
  </r>
  <r>
    <n v="3568"/>
    <n v="21"/>
    <n v="7"/>
    <n v="2024"/>
    <s v="Sunday"/>
    <x v="0"/>
    <n v="4"/>
    <n v="30083.360000000001"/>
    <s v="Vijay Rawat"/>
    <n v="29"/>
    <x v="14"/>
    <s v="UPI"/>
    <n v="2"/>
    <s v="Redmi 9"/>
  </r>
  <r>
    <n v="3569"/>
    <n v="22"/>
    <n v="7"/>
    <n v="2024"/>
    <s v="Monday"/>
    <x v="0"/>
    <n v="6"/>
    <n v="21032.39"/>
    <s v="Lalita Luthra"/>
    <n v="28"/>
    <x v="2"/>
    <s v="Cash"/>
    <n v="5"/>
    <s v="Mi 11"/>
  </r>
  <r>
    <n v="3570"/>
    <n v="22"/>
    <n v="7"/>
    <n v="2024"/>
    <s v="Monday"/>
    <x v="3"/>
    <n v="3"/>
    <n v="50808.57"/>
    <s v="Ayesha Patel"/>
    <n v="55"/>
    <x v="1"/>
    <s v="Cash"/>
    <n v="3"/>
    <s v="Galaxy S21"/>
  </r>
  <r>
    <n v="3571"/>
    <n v="22"/>
    <n v="7"/>
    <n v="2024"/>
    <s v="Monday"/>
    <x v="3"/>
    <n v="8"/>
    <n v="13402.28"/>
    <s v="Meena Chatterjee"/>
    <n v="45"/>
    <x v="4"/>
    <s v="UPI"/>
    <n v="4"/>
    <s v="Galaxy Note 20"/>
  </r>
  <r>
    <n v="3572"/>
    <n v="23"/>
    <n v="7"/>
    <n v="2024"/>
    <s v="Tuesday"/>
    <x v="1"/>
    <n v="6"/>
    <n v="43828.2"/>
    <s v="Deepika Kulkarni"/>
    <n v="25"/>
    <x v="1"/>
    <s v="Cash"/>
    <n v="2"/>
    <s v="Vivo Y51"/>
  </r>
  <r>
    <n v="3573"/>
    <n v="23"/>
    <n v="7"/>
    <n v="2024"/>
    <s v="Tuesday"/>
    <x v="1"/>
    <n v="5"/>
    <n v="22637.9"/>
    <s v="Arun Teja"/>
    <n v="27"/>
    <x v="7"/>
    <s v="Cash"/>
    <n v="5"/>
    <s v="Vivo S1"/>
  </r>
  <r>
    <n v="3574"/>
    <n v="23"/>
    <n v="7"/>
    <n v="2024"/>
    <s v="Tuesday"/>
    <x v="4"/>
    <n v="2"/>
    <n v="66930.75"/>
    <s v="Sanjay Ghosh"/>
    <n v="42"/>
    <x v="2"/>
    <s v="UPI"/>
    <n v="4"/>
    <s v="iPhone 11"/>
  </r>
  <r>
    <n v="3575"/>
    <n v="23"/>
    <n v="7"/>
    <n v="2024"/>
    <s v="Tuesday"/>
    <x v="3"/>
    <n v="7"/>
    <n v="30132.46"/>
    <s v="Devendra Varma"/>
    <n v="53"/>
    <x v="1"/>
    <s v="Cash"/>
    <n v="5"/>
    <s v="Galaxy S21"/>
  </r>
  <r>
    <n v="3576"/>
    <n v="24"/>
    <n v="7"/>
    <n v="2024"/>
    <s v="Wednesday"/>
    <x v="4"/>
    <n v="2"/>
    <n v="29513.27"/>
    <s v="Yogesh Ahuja"/>
    <n v="26"/>
    <x v="16"/>
    <s v="Cash"/>
    <n v="5"/>
    <s v="iPhone 11"/>
  </r>
  <r>
    <n v="3577"/>
    <n v="24"/>
    <n v="7"/>
    <n v="2024"/>
    <s v="Wednesday"/>
    <x v="2"/>
    <n v="1"/>
    <n v="65403.08"/>
    <s v="Mala Ghosh"/>
    <n v="58"/>
    <x v="14"/>
    <s v="UPI"/>
    <n v="2"/>
    <s v="OnePlus Nord"/>
  </r>
  <r>
    <n v="3578"/>
    <n v="24"/>
    <n v="7"/>
    <n v="2024"/>
    <s v="Wednesday"/>
    <x v="4"/>
    <n v="7"/>
    <n v="35040.879999999997"/>
    <s v="Priya Bhattacharya"/>
    <n v="25"/>
    <x v="1"/>
    <s v="Debit Card"/>
    <n v="5"/>
    <s v="iPhone 12"/>
  </r>
  <r>
    <n v="3579"/>
    <n v="25"/>
    <n v="7"/>
    <n v="2024"/>
    <s v="Thursday"/>
    <x v="0"/>
    <n v="5"/>
    <n v="67771.740000000005"/>
    <s v="Vivek Pathak"/>
    <n v="20"/>
    <x v="1"/>
    <s v="Credit Card"/>
    <n v="5"/>
    <s v="Redmi 9"/>
  </r>
  <r>
    <n v="3580"/>
    <n v="25"/>
    <n v="7"/>
    <n v="2024"/>
    <s v="Thursday"/>
    <x v="4"/>
    <n v="1"/>
    <n v="11450.22"/>
    <s v="Meena Verma"/>
    <n v="35"/>
    <x v="13"/>
    <s v="Credit Card"/>
    <n v="5"/>
    <s v="iPhone SE"/>
  </r>
  <r>
    <n v="3581"/>
    <n v="25"/>
    <n v="7"/>
    <n v="2024"/>
    <s v="Thursday"/>
    <x v="1"/>
    <n v="4"/>
    <n v="28380.67"/>
    <s v="Anita Mehta"/>
    <n v="52"/>
    <x v="2"/>
    <s v="Debit Card"/>
    <n v="5"/>
    <s v="Vivo Y51"/>
  </r>
  <r>
    <n v="3582"/>
    <n v="26"/>
    <n v="7"/>
    <n v="2024"/>
    <s v="Friday"/>
    <x v="2"/>
    <n v="4"/>
    <n v="49971.58"/>
    <s v="Priya Prasad"/>
    <n v="34"/>
    <x v="7"/>
    <s v="UPI"/>
    <n v="4"/>
    <s v="OnePlus Nord"/>
  </r>
  <r>
    <n v="3583"/>
    <n v="26"/>
    <n v="7"/>
    <n v="2024"/>
    <s v="Friday"/>
    <x v="0"/>
    <n v="7"/>
    <n v="63451.42"/>
    <s v="Kiran Joshi"/>
    <n v="53"/>
    <x v="2"/>
    <s v="Debit Card"/>
    <n v="4"/>
    <s v="Redmi Note 10"/>
  </r>
  <r>
    <n v="3584"/>
    <n v="26"/>
    <n v="7"/>
    <n v="2024"/>
    <s v="Friday"/>
    <x v="4"/>
    <n v="9"/>
    <n v="25384.34"/>
    <s v="Radha Kaur"/>
    <n v="45"/>
    <x v="1"/>
    <s v="Credit Card"/>
    <n v="5"/>
    <s v="iPhone 12"/>
  </r>
  <r>
    <n v="3585"/>
    <n v="27"/>
    <n v="7"/>
    <n v="2024"/>
    <s v="Saturday"/>
    <x v="2"/>
    <n v="2"/>
    <n v="65828.66"/>
    <s v="Namita Patel"/>
    <n v="32"/>
    <x v="15"/>
    <s v="Credit Card"/>
    <n v="3"/>
    <s v="OnePlus 9"/>
  </r>
  <r>
    <n v="3586"/>
    <n v="27"/>
    <n v="7"/>
    <n v="2024"/>
    <s v="Saturday"/>
    <x v="2"/>
    <n v="1"/>
    <n v="45647.29"/>
    <s v="Anjali Pathak"/>
    <n v="36"/>
    <x v="5"/>
    <s v="Credit Card"/>
    <n v="3"/>
    <s v="OnePlus 9"/>
  </r>
  <r>
    <n v="3587"/>
    <n v="27"/>
    <n v="7"/>
    <n v="2024"/>
    <s v="Saturday"/>
    <x v="0"/>
    <n v="2"/>
    <n v="58060.49"/>
    <s v="Ravi Bhattacharya"/>
    <n v="39"/>
    <x v="15"/>
    <s v="Credit Card"/>
    <n v="4"/>
    <s v="Mi 11"/>
  </r>
  <r>
    <n v="3588"/>
    <n v="27"/>
    <n v="7"/>
    <n v="2024"/>
    <s v="Saturday"/>
    <x v="4"/>
    <n v="7"/>
    <n v="33832.44"/>
    <s v="Bhavana Bhatnagar"/>
    <n v="23"/>
    <x v="1"/>
    <s v="UPI"/>
    <n v="3"/>
    <s v="iPhone 12"/>
  </r>
  <r>
    <n v="3589"/>
    <n v="28"/>
    <n v="7"/>
    <n v="2024"/>
    <s v="Sunday"/>
    <x v="2"/>
    <n v="6"/>
    <n v="22730.82"/>
    <s v="Bina Jain"/>
    <n v="24"/>
    <x v="7"/>
    <s v="Credit Card"/>
    <n v="4"/>
    <s v="OnePlus 8T"/>
  </r>
  <r>
    <n v="3590"/>
    <n v="28"/>
    <n v="7"/>
    <n v="2024"/>
    <s v="Sunday"/>
    <x v="2"/>
    <n v="4"/>
    <n v="64674.12"/>
    <s v="Rohan Roy"/>
    <n v="26"/>
    <x v="10"/>
    <s v="Credit Card"/>
    <n v="2"/>
    <s v="OnePlus Nord"/>
  </r>
  <r>
    <n v="3591"/>
    <n v="28"/>
    <n v="7"/>
    <n v="2024"/>
    <s v="Sunday"/>
    <x v="3"/>
    <n v="1"/>
    <n v="65988.149999999994"/>
    <s v="Mala Siddiqui"/>
    <n v="37"/>
    <x v="1"/>
    <s v="UPI"/>
    <n v="4"/>
    <s v="Galaxy A51"/>
  </r>
  <r>
    <n v="3592"/>
    <n v="28"/>
    <n v="7"/>
    <n v="2024"/>
    <s v="Sunday"/>
    <x v="2"/>
    <n v="1"/>
    <n v="39854.51"/>
    <s v="Prashant Arora"/>
    <n v="54"/>
    <x v="1"/>
    <s v="Debit Card"/>
    <n v="2"/>
    <s v="OnePlus 8T"/>
  </r>
  <r>
    <n v="3593"/>
    <n v="29"/>
    <n v="7"/>
    <n v="2024"/>
    <s v="Monday"/>
    <x v="3"/>
    <n v="5"/>
    <n v="10389.700000000001"/>
    <s v="Ayesha Rathod"/>
    <n v="28"/>
    <x v="14"/>
    <s v="UPI"/>
    <n v="5"/>
    <s v="Galaxy A51"/>
  </r>
  <r>
    <n v="3594"/>
    <n v="29"/>
    <n v="7"/>
    <n v="2024"/>
    <s v="Monday"/>
    <x v="4"/>
    <n v="1"/>
    <n v="16586.98"/>
    <s v="Sunil Menon"/>
    <n v="19"/>
    <x v="13"/>
    <s v="Credit Card"/>
    <n v="3"/>
    <s v="iPhone SE"/>
  </r>
  <r>
    <n v="3595"/>
    <n v="29"/>
    <n v="7"/>
    <n v="2024"/>
    <s v="Monday"/>
    <x v="4"/>
    <n v="7"/>
    <n v="44381.68"/>
    <s v="Kiran Malhotra"/>
    <n v="39"/>
    <x v="1"/>
    <s v="Cash"/>
    <n v="5"/>
    <s v="iPhone 12"/>
  </r>
  <r>
    <n v="3596"/>
    <n v="29"/>
    <n v="7"/>
    <n v="2024"/>
    <s v="Monday"/>
    <x v="4"/>
    <n v="1"/>
    <n v="11426.6"/>
    <s v="Sachin Singh"/>
    <n v="53"/>
    <x v="12"/>
    <s v="UPI"/>
    <n v="5"/>
    <s v="iPhone SE"/>
  </r>
  <r>
    <n v="3597"/>
    <n v="30"/>
    <n v="7"/>
    <n v="2024"/>
    <s v="Tuesday"/>
    <x v="1"/>
    <n v="1"/>
    <n v="33814.720000000001"/>
    <s v="Anjali Chatterjee"/>
    <n v="22"/>
    <x v="8"/>
    <s v="UPI"/>
    <n v="5"/>
    <s v="Vivo S1"/>
  </r>
  <r>
    <n v="3598"/>
    <n v="30"/>
    <n v="7"/>
    <n v="2024"/>
    <s v="Tuesday"/>
    <x v="4"/>
    <n v="2"/>
    <n v="28202.2"/>
    <s v="Yogesh Patel"/>
    <n v="24"/>
    <x v="2"/>
    <s v="Debit Card"/>
    <n v="5"/>
    <s v="iPhone 11"/>
  </r>
  <r>
    <n v="3599"/>
    <n v="30"/>
    <n v="7"/>
    <n v="2024"/>
    <s v="Tuesday"/>
    <x v="2"/>
    <n v="3"/>
    <n v="52860.9"/>
    <s v="Ravi Kulkarni"/>
    <n v="23"/>
    <x v="9"/>
    <s v="Credit Card"/>
    <n v="4"/>
    <s v="OnePlus 9"/>
  </r>
  <r>
    <n v="3600"/>
    <n v="30"/>
    <n v="7"/>
    <n v="2024"/>
    <s v="Tuesday"/>
    <x v="0"/>
    <n v="1"/>
    <n v="13334.72"/>
    <s v="Pooja Arora"/>
    <n v="39"/>
    <x v="5"/>
    <s v="Cash"/>
    <n v="4"/>
    <s v="Redmi 9"/>
  </r>
  <r>
    <n v="3601"/>
    <n v="31"/>
    <n v="7"/>
    <n v="2024"/>
    <s v="Wednesday"/>
    <x v="3"/>
    <n v="9"/>
    <n v="39323.879999999997"/>
    <s v="Radha Sharma"/>
    <n v="27"/>
    <x v="1"/>
    <s v="UPI"/>
    <n v="3"/>
    <s v="Galaxy A51"/>
  </r>
  <r>
    <n v="3602"/>
    <n v="31"/>
    <n v="7"/>
    <n v="2024"/>
    <s v="Wednesday"/>
    <x v="1"/>
    <n v="8"/>
    <n v="44746.86"/>
    <s v="Bhavana Desai"/>
    <n v="57"/>
    <x v="7"/>
    <s v="UPI"/>
    <n v="5"/>
    <s v="Vivo Y51"/>
  </r>
  <r>
    <n v="3603"/>
    <n v="31"/>
    <n v="7"/>
    <n v="2024"/>
    <s v="Wednesday"/>
    <x v="4"/>
    <n v="5"/>
    <n v="47037.46"/>
    <s v="Anjali Nambiar"/>
    <n v="37"/>
    <x v="1"/>
    <s v="UPI"/>
    <n v="5"/>
    <s v="iPhone SE"/>
  </r>
  <r>
    <n v="3604"/>
    <n v="31"/>
    <n v="7"/>
    <n v="2024"/>
    <s v="Wednesday"/>
    <x v="4"/>
    <n v="2"/>
    <n v="34309.46"/>
    <s v="Neeta Desai"/>
    <n v="45"/>
    <x v="2"/>
    <s v="Cash"/>
    <n v="5"/>
    <s v="iPhone 12"/>
  </r>
  <r>
    <n v="3605"/>
    <n v="1"/>
    <n v="8"/>
    <n v="2024"/>
    <s v="Thursday"/>
    <x v="0"/>
    <n v="5"/>
    <n v="28262.07"/>
    <s v="Anita Luthra"/>
    <n v="40"/>
    <x v="1"/>
    <s v="UPI"/>
    <n v="5"/>
    <s v="Redmi Note 10"/>
  </r>
  <r>
    <n v="3606"/>
    <n v="1"/>
    <n v="8"/>
    <n v="2024"/>
    <s v="Thursday"/>
    <x v="0"/>
    <n v="6"/>
    <n v="50949.58"/>
    <s v="Reena Mehta"/>
    <n v="52"/>
    <x v="11"/>
    <s v="UPI"/>
    <n v="3"/>
    <s v="Redmi Note 10"/>
  </r>
  <r>
    <n v="3607"/>
    <n v="1"/>
    <n v="8"/>
    <n v="2024"/>
    <s v="Thursday"/>
    <x v="1"/>
    <n v="1"/>
    <n v="60854.14"/>
    <s v="Lalita Bhatnagar"/>
    <n v="18"/>
    <x v="2"/>
    <s v="Cash"/>
    <n v="4"/>
    <s v="Vivo Y51"/>
  </r>
  <r>
    <n v="3608"/>
    <n v="2"/>
    <n v="8"/>
    <n v="2024"/>
    <s v="Friday"/>
    <x v="3"/>
    <n v="4"/>
    <n v="51617.06"/>
    <s v="Kavita Teja"/>
    <n v="46"/>
    <x v="18"/>
    <s v="UPI"/>
    <n v="5"/>
    <s v="Galaxy S21"/>
  </r>
  <r>
    <n v="3609"/>
    <n v="2"/>
    <n v="8"/>
    <n v="2024"/>
    <s v="Friday"/>
    <x v="4"/>
    <n v="9"/>
    <n v="65926.14"/>
    <s v="Lata Chaudhary"/>
    <n v="26"/>
    <x v="12"/>
    <s v="Cash"/>
    <n v="3"/>
    <s v="iPhone 12"/>
  </r>
  <r>
    <n v="3610"/>
    <n v="2"/>
    <n v="8"/>
    <n v="2024"/>
    <s v="Friday"/>
    <x v="1"/>
    <n v="2"/>
    <n v="53035.81"/>
    <s v="Pooja Pathak"/>
    <n v="26"/>
    <x v="2"/>
    <s v="Debit Card"/>
    <n v="5"/>
    <s v="Vivo V20"/>
  </r>
  <r>
    <n v="3611"/>
    <n v="3"/>
    <n v="8"/>
    <n v="2024"/>
    <s v="Saturday"/>
    <x v="2"/>
    <n v="5"/>
    <n v="55877.120000000003"/>
    <s v="Navin Kapoor"/>
    <n v="39"/>
    <x v="12"/>
    <s v="Cash"/>
    <n v="5"/>
    <s v="OnePlus 9"/>
  </r>
  <r>
    <n v="3612"/>
    <n v="3"/>
    <n v="8"/>
    <n v="2024"/>
    <s v="Saturday"/>
    <x v="2"/>
    <n v="1"/>
    <n v="20074.189999999999"/>
    <s v="Anita Kumar"/>
    <n v="19"/>
    <x v="2"/>
    <s v="Debit Card"/>
    <n v="4"/>
    <s v="OnePlus 9"/>
  </r>
  <r>
    <n v="3613"/>
    <n v="3"/>
    <n v="8"/>
    <n v="2024"/>
    <s v="Saturday"/>
    <x v="1"/>
    <n v="4"/>
    <n v="35172.379999999997"/>
    <s v="Reena Menon"/>
    <n v="33"/>
    <x v="13"/>
    <s v="Cash"/>
    <n v="4"/>
    <s v="Vivo V20"/>
  </r>
  <r>
    <n v="3614"/>
    <n v="4"/>
    <n v="8"/>
    <n v="2024"/>
    <s v="Sunday"/>
    <x v="4"/>
    <n v="4"/>
    <n v="39103.32"/>
    <s v="Tapan Luthra"/>
    <n v="57"/>
    <x v="1"/>
    <s v="Credit Card"/>
    <n v="3"/>
    <s v="iPhone 11"/>
  </r>
  <r>
    <n v="3615"/>
    <n v="4"/>
    <n v="8"/>
    <n v="2024"/>
    <s v="Sunday"/>
    <x v="1"/>
    <n v="6"/>
    <n v="25377.59"/>
    <s v="Devendra Menon"/>
    <n v="23"/>
    <x v="12"/>
    <s v="UPI"/>
    <n v="2"/>
    <s v="Vivo V20"/>
  </r>
  <r>
    <n v="3616"/>
    <n v="4"/>
    <n v="8"/>
    <n v="2024"/>
    <s v="Sunday"/>
    <x v="4"/>
    <n v="9"/>
    <n v="41712.39"/>
    <s v="Umesh Nair"/>
    <n v="30"/>
    <x v="14"/>
    <s v="Debit Card"/>
    <n v="3"/>
    <s v="iPhone SE"/>
  </r>
  <r>
    <n v="3617"/>
    <n v="5"/>
    <n v="8"/>
    <n v="2024"/>
    <s v="Monday"/>
    <x v="0"/>
    <n v="3"/>
    <n v="27447.52"/>
    <s v="Anand Thakur"/>
    <n v="50"/>
    <x v="1"/>
    <s v="UPI"/>
    <n v="3"/>
    <s v="Mi 11"/>
  </r>
  <r>
    <n v="3618"/>
    <n v="5"/>
    <n v="8"/>
    <n v="2024"/>
    <s v="Monday"/>
    <x v="1"/>
    <n v="9"/>
    <n v="51250.13"/>
    <s v="Anand Siddiqui"/>
    <n v="36"/>
    <x v="1"/>
    <s v="UPI"/>
    <n v="2"/>
    <s v="Vivo S1"/>
  </r>
  <r>
    <n v="3619"/>
    <n v="5"/>
    <n v="8"/>
    <n v="2024"/>
    <s v="Monday"/>
    <x v="4"/>
    <n v="6"/>
    <n v="38217.31"/>
    <s v="Prashant Mishra"/>
    <n v="32"/>
    <x v="11"/>
    <s v="Cash"/>
    <n v="5"/>
    <s v="iPhone SE"/>
  </r>
  <r>
    <n v="3620"/>
    <n v="5"/>
    <n v="8"/>
    <n v="2024"/>
    <s v="Monday"/>
    <x v="1"/>
    <n v="7"/>
    <n v="37528.42"/>
    <s v="Amit Chatterjee"/>
    <n v="50"/>
    <x v="16"/>
    <s v="Credit Card"/>
    <n v="5"/>
    <s v="Vivo V20"/>
  </r>
  <r>
    <n v="3621"/>
    <n v="6"/>
    <n v="8"/>
    <n v="2024"/>
    <s v="Tuesday"/>
    <x v="1"/>
    <n v="2"/>
    <n v="69018.55"/>
    <s v="Kunal Malhotra"/>
    <n v="27"/>
    <x v="1"/>
    <s v="Cash"/>
    <n v="2"/>
    <s v="Vivo S1"/>
  </r>
  <r>
    <n v="3622"/>
    <n v="6"/>
    <n v="8"/>
    <n v="2024"/>
    <s v="Tuesday"/>
    <x v="4"/>
    <n v="6"/>
    <n v="33546.69"/>
    <s v="Bina Nair"/>
    <n v="18"/>
    <x v="2"/>
    <s v="UPI"/>
    <n v="5"/>
    <s v="iPhone SE"/>
  </r>
  <r>
    <n v="3623"/>
    <n v="6"/>
    <n v="8"/>
    <n v="2024"/>
    <s v="Tuesday"/>
    <x v="4"/>
    <n v="6"/>
    <n v="31737.73"/>
    <s v="Priyanka Joshi"/>
    <n v="29"/>
    <x v="1"/>
    <s v="Cash"/>
    <n v="5"/>
    <s v="iPhone SE"/>
  </r>
  <r>
    <n v="3624"/>
    <n v="7"/>
    <n v="8"/>
    <n v="2024"/>
    <s v="Wednesday"/>
    <x v="3"/>
    <n v="2"/>
    <n v="29116.26"/>
    <s v="Kunal Chaudhary"/>
    <n v="46"/>
    <x v="2"/>
    <s v="Debit Card"/>
    <n v="2"/>
    <s v="Galaxy S21"/>
  </r>
  <r>
    <n v="3625"/>
    <n v="7"/>
    <n v="8"/>
    <n v="2024"/>
    <s v="Wednesday"/>
    <x v="1"/>
    <n v="2"/>
    <n v="63684.95"/>
    <s v="Meena Rathod"/>
    <n v="34"/>
    <x v="11"/>
    <s v="Credit Card"/>
    <n v="4"/>
    <s v="Vivo V20"/>
  </r>
  <r>
    <n v="3626"/>
    <n v="7"/>
    <n v="8"/>
    <n v="2024"/>
    <s v="Wednesday"/>
    <x v="2"/>
    <n v="2"/>
    <n v="39803.43"/>
    <s v="Arun Kumar"/>
    <n v="21"/>
    <x v="7"/>
    <s v="UPI"/>
    <n v="3"/>
    <s v="OnePlus 9"/>
  </r>
  <r>
    <n v="3627"/>
    <n v="7"/>
    <n v="8"/>
    <n v="2024"/>
    <s v="Wednesday"/>
    <x v="1"/>
    <n v="1"/>
    <n v="46000.87"/>
    <s v="Prashant Teja"/>
    <n v="46"/>
    <x v="18"/>
    <s v="Cash"/>
    <n v="2"/>
    <s v="Vivo Y51"/>
  </r>
  <r>
    <n v="3628"/>
    <n v="8"/>
    <n v="8"/>
    <n v="2024"/>
    <s v="Thursday"/>
    <x v="1"/>
    <n v="5"/>
    <n v="20849.11"/>
    <s v="Rohan Shah"/>
    <n v="24"/>
    <x v="4"/>
    <s v="Debit Card"/>
    <n v="2"/>
    <s v="Vivo V20"/>
  </r>
  <r>
    <n v="3629"/>
    <n v="8"/>
    <n v="8"/>
    <n v="2024"/>
    <s v="Thursday"/>
    <x v="4"/>
    <n v="8"/>
    <n v="42456.54"/>
    <s v="Ayesha Patel"/>
    <n v="30"/>
    <x v="2"/>
    <s v="Credit Card"/>
    <n v="5"/>
    <s v="iPhone 12"/>
  </r>
  <r>
    <n v="3630"/>
    <n v="8"/>
    <n v="8"/>
    <n v="2024"/>
    <s v="Thursday"/>
    <x v="1"/>
    <n v="2"/>
    <n v="26478.89"/>
    <s v="Vijay Varma"/>
    <n v="22"/>
    <x v="0"/>
    <s v="Cash"/>
    <n v="4"/>
    <s v="Vivo S1"/>
  </r>
  <r>
    <n v="3631"/>
    <n v="9"/>
    <n v="8"/>
    <n v="2024"/>
    <s v="Friday"/>
    <x v="1"/>
    <n v="5"/>
    <n v="53838.22"/>
    <s v="Anita Bhattacharya"/>
    <n v="23"/>
    <x v="1"/>
    <s v="Cash"/>
    <n v="2"/>
    <s v="Vivo V20"/>
  </r>
  <r>
    <n v="3632"/>
    <n v="9"/>
    <n v="8"/>
    <n v="2024"/>
    <s v="Friday"/>
    <x v="2"/>
    <n v="8"/>
    <n v="59951.7"/>
    <s v="Lalita Alva"/>
    <n v="51"/>
    <x v="6"/>
    <s v="UPI"/>
    <n v="4"/>
    <s v="OnePlus Nord"/>
  </r>
  <r>
    <n v="3633"/>
    <n v="9"/>
    <n v="8"/>
    <n v="2024"/>
    <s v="Friday"/>
    <x v="4"/>
    <n v="5"/>
    <n v="52888.639999999999"/>
    <s v="Yogesh Menon"/>
    <n v="24"/>
    <x v="6"/>
    <s v="Debit Card"/>
    <n v="5"/>
    <s v="iPhone 12"/>
  </r>
  <r>
    <n v="3634"/>
    <n v="9"/>
    <n v="8"/>
    <n v="2024"/>
    <s v="Friday"/>
    <x v="1"/>
    <n v="2"/>
    <n v="53814.65"/>
    <s v="Kunal Patel"/>
    <n v="45"/>
    <x v="10"/>
    <s v="Credit Card"/>
    <n v="2"/>
    <s v="Vivo V20"/>
  </r>
  <r>
    <n v="3635"/>
    <n v="10"/>
    <n v="8"/>
    <n v="2024"/>
    <s v="Saturday"/>
    <x v="0"/>
    <n v="3"/>
    <n v="40748.480000000003"/>
    <s v="Aditya Nair"/>
    <n v="27"/>
    <x v="11"/>
    <s v="Cash"/>
    <n v="4"/>
    <s v="Redmi Note 10"/>
  </r>
  <r>
    <n v="3636"/>
    <n v="10"/>
    <n v="8"/>
    <n v="2024"/>
    <s v="Saturday"/>
    <x v="3"/>
    <n v="6"/>
    <n v="52727.08"/>
    <s v="Amit Ahuja"/>
    <n v="21"/>
    <x v="16"/>
    <s v="Credit Card"/>
    <n v="3"/>
    <s v="Galaxy S21"/>
  </r>
  <r>
    <n v="3637"/>
    <n v="10"/>
    <n v="8"/>
    <n v="2024"/>
    <s v="Saturday"/>
    <x v="2"/>
    <n v="5"/>
    <n v="35361.22"/>
    <s v="Tanuja Gupta"/>
    <n v="20"/>
    <x v="2"/>
    <s v="Debit Card"/>
    <n v="5"/>
    <s v="OnePlus 9"/>
  </r>
  <r>
    <n v="3638"/>
    <n v="10"/>
    <n v="8"/>
    <n v="2024"/>
    <s v="Saturday"/>
    <x v="1"/>
    <n v="4"/>
    <n v="49089.35"/>
    <s v="Rohan Goyal"/>
    <n v="42"/>
    <x v="2"/>
    <s v="UPI"/>
    <n v="4"/>
    <s v="Vivo V20"/>
  </r>
  <r>
    <n v="3639"/>
    <n v="11"/>
    <n v="8"/>
    <n v="2024"/>
    <s v="Sunday"/>
    <x v="0"/>
    <n v="4"/>
    <n v="25542.35"/>
    <s v="Anita Kulkarni"/>
    <n v="40"/>
    <x v="3"/>
    <s v="UPI"/>
    <n v="5"/>
    <s v="Redmi Note 10"/>
  </r>
  <r>
    <n v="3640"/>
    <n v="11"/>
    <n v="8"/>
    <n v="2024"/>
    <s v="Sunday"/>
    <x v="1"/>
    <n v="5"/>
    <n v="14185.42"/>
    <s v="Manoj Iyer"/>
    <n v="44"/>
    <x v="18"/>
    <s v="UPI"/>
    <n v="2"/>
    <s v="Vivo S1"/>
  </r>
  <r>
    <n v="3641"/>
    <n v="11"/>
    <n v="8"/>
    <n v="2024"/>
    <s v="Sunday"/>
    <x v="1"/>
    <n v="2"/>
    <n v="34808.400000000001"/>
    <s v="Kavita Goyal"/>
    <n v="31"/>
    <x v="5"/>
    <s v="Credit Card"/>
    <n v="2"/>
    <s v="Vivo Y51"/>
  </r>
  <r>
    <n v="3642"/>
    <n v="12"/>
    <n v="8"/>
    <n v="2024"/>
    <s v="Monday"/>
    <x v="4"/>
    <n v="9"/>
    <n v="37706.69"/>
    <s v="Nikhil Chaudhary"/>
    <n v="55"/>
    <x v="1"/>
    <s v="Credit Card"/>
    <n v="5"/>
    <s v="iPhone 11"/>
  </r>
  <r>
    <n v="3643"/>
    <n v="12"/>
    <n v="8"/>
    <n v="2024"/>
    <s v="Monday"/>
    <x v="4"/>
    <n v="2"/>
    <n v="25384.43"/>
    <s v="Sunil Kumar"/>
    <n v="49"/>
    <x v="2"/>
    <s v="Cash"/>
    <n v="5"/>
    <s v="iPhone 12"/>
  </r>
  <r>
    <n v="3644"/>
    <n v="12"/>
    <n v="8"/>
    <n v="2024"/>
    <s v="Monday"/>
    <x v="4"/>
    <n v="2"/>
    <n v="53662.57"/>
    <s v="Umesh Srivastava"/>
    <n v="40"/>
    <x v="1"/>
    <s v="Debit Card"/>
    <n v="3"/>
    <s v="iPhone 11"/>
  </r>
  <r>
    <n v="3645"/>
    <n v="13"/>
    <n v="8"/>
    <n v="2024"/>
    <s v="Tuesday"/>
    <x v="0"/>
    <n v="9"/>
    <n v="14413.03"/>
    <s v="Isha Nair"/>
    <n v="57"/>
    <x v="2"/>
    <s v="Debit Card"/>
    <n v="3"/>
    <s v="Redmi 9"/>
  </r>
  <r>
    <n v="3646"/>
    <n v="13"/>
    <n v="8"/>
    <n v="2024"/>
    <s v="Tuesday"/>
    <x v="1"/>
    <n v="3"/>
    <n v="23364.9"/>
    <s v="Neeta Arora"/>
    <n v="54"/>
    <x v="2"/>
    <s v="Debit Card"/>
    <n v="4"/>
    <s v="Vivo S1"/>
  </r>
  <r>
    <n v="3647"/>
    <n v="13"/>
    <n v="8"/>
    <n v="2024"/>
    <s v="Tuesday"/>
    <x v="3"/>
    <n v="7"/>
    <n v="54913.88"/>
    <s v="Lalita Shah"/>
    <n v="20"/>
    <x v="18"/>
    <s v="Credit Card"/>
    <n v="3"/>
    <s v="Galaxy A51"/>
  </r>
  <r>
    <n v="3648"/>
    <n v="14"/>
    <n v="8"/>
    <n v="2024"/>
    <s v="Wednesday"/>
    <x v="2"/>
    <n v="4"/>
    <n v="36227.46"/>
    <s v="Anand Thakur"/>
    <n v="52"/>
    <x v="13"/>
    <s v="UPI"/>
    <n v="5"/>
    <s v="OnePlus 8T"/>
  </r>
  <r>
    <n v="3649"/>
    <n v="14"/>
    <n v="8"/>
    <n v="2024"/>
    <s v="Wednesday"/>
    <x v="4"/>
    <n v="6"/>
    <n v="52317.02"/>
    <s v="Vinod Pathak"/>
    <n v="30"/>
    <x v="1"/>
    <s v="Debit Card"/>
    <n v="2"/>
    <s v="iPhone 11"/>
  </r>
  <r>
    <n v="3650"/>
    <n v="14"/>
    <n v="8"/>
    <n v="2024"/>
    <s v="Wednesday"/>
    <x v="4"/>
    <n v="4"/>
    <n v="44049.15"/>
    <s v="Ravi Siddiqui"/>
    <n v="51"/>
    <x v="9"/>
    <s v="Cash"/>
    <n v="5"/>
    <s v="iPhone 11"/>
  </r>
  <r>
    <n v="3651"/>
    <n v="15"/>
    <n v="8"/>
    <n v="2024"/>
    <s v="Thursday"/>
    <x v="1"/>
    <n v="7"/>
    <n v="67042.759999999995"/>
    <s v="Lata Verma"/>
    <n v="41"/>
    <x v="2"/>
    <s v="Credit Card"/>
    <n v="5"/>
    <s v="Vivo V20"/>
  </r>
  <r>
    <n v="3652"/>
    <n v="15"/>
    <n v="8"/>
    <n v="2024"/>
    <s v="Thursday"/>
    <x v="1"/>
    <n v="1"/>
    <n v="45867.75"/>
    <s v="Anand Mehta"/>
    <n v="18"/>
    <x v="11"/>
    <s v="UPI"/>
    <n v="2"/>
    <s v="Vivo S1"/>
  </r>
  <r>
    <n v="3653"/>
    <n v="15"/>
    <n v="8"/>
    <n v="2024"/>
    <s v="Thursday"/>
    <x v="0"/>
    <n v="3"/>
    <n v="10892.14"/>
    <s v="Meena Sheth"/>
    <n v="29"/>
    <x v="1"/>
    <s v="Debit Card"/>
    <n v="5"/>
    <s v="Redmi 9"/>
  </r>
  <r>
    <n v="3654"/>
    <n v="15"/>
    <n v="8"/>
    <n v="2024"/>
    <s v="Thursday"/>
    <x v="0"/>
    <n v="3"/>
    <n v="31172.639999999999"/>
    <s v="Devendra Yadav"/>
    <n v="25"/>
    <x v="1"/>
    <s v="UPI"/>
    <n v="3"/>
    <s v="Redmi Note 10"/>
  </r>
  <r>
    <n v="3655"/>
    <n v="16"/>
    <n v="8"/>
    <n v="2024"/>
    <s v="Friday"/>
    <x v="4"/>
    <n v="1"/>
    <n v="18583.64"/>
    <s v="Vivek Srivastava"/>
    <n v="36"/>
    <x v="1"/>
    <s v="Cash"/>
    <n v="4"/>
    <s v="iPhone 11"/>
  </r>
  <r>
    <n v="3656"/>
    <n v="16"/>
    <n v="8"/>
    <n v="2024"/>
    <s v="Friday"/>
    <x v="1"/>
    <n v="6"/>
    <n v="65478.02"/>
    <s v="Bhavana Kapoor"/>
    <n v="26"/>
    <x v="3"/>
    <s v="Debit Card"/>
    <n v="4"/>
    <s v="Vivo S1"/>
  </r>
  <r>
    <n v="3657"/>
    <n v="16"/>
    <n v="8"/>
    <n v="2024"/>
    <s v="Friday"/>
    <x v="3"/>
    <n v="9"/>
    <n v="16240.75"/>
    <s v="Tapan Ahuja"/>
    <n v="45"/>
    <x v="2"/>
    <s v="Debit Card"/>
    <n v="5"/>
    <s v="Galaxy Note 20"/>
  </r>
  <r>
    <n v="3658"/>
    <n v="17"/>
    <n v="8"/>
    <n v="2024"/>
    <s v="Saturday"/>
    <x v="2"/>
    <n v="8"/>
    <n v="33262.400000000001"/>
    <s v="Lalita Shah"/>
    <n v="31"/>
    <x v="6"/>
    <s v="UPI"/>
    <n v="2"/>
    <s v="OnePlus 9"/>
  </r>
  <r>
    <n v="3659"/>
    <n v="17"/>
    <n v="8"/>
    <n v="2024"/>
    <s v="Saturday"/>
    <x v="1"/>
    <n v="7"/>
    <n v="23565.95"/>
    <s v="Rohan Sheth"/>
    <n v="44"/>
    <x v="16"/>
    <s v="Credit Card"/>
    <n v="5"/>
    <s v="Vivo Y51"/>
  </r>
  <r>
    <n v="3660"/>
    <n v="17"/>
    <n v="8"/>
    <n v="2024"/>
    <s v="Saturday"/>
    <x v="1"/>
    <n v="8"/>
    <n v="60803.32"/>
    <s v="Ravi Kaur"/>
    <n v="35"/>
    <x v="4"/>
    <s v="UPI"/>
    <n v="5"/>
    <s v="Vivo V20"/>
  </r>
  <r>
    <n v="3661"/>
    <n v="18"/>
    <n v="8"/>
    <n v="2024"/>
    <s v="Sunday"/>
    <x v="0"/>
    <n v="6"/>
    <n v="28513.99"/>
    <s v="Pooja Deshmukh"/>
    <n v="59"/>
    <x v="1"/>
    <s v="Cash"/>
    <n v="5"/>
    <s v="Mi 11"/>
  </r>
  <r>
    <n v="3662"/>
    <n v="18"/>
    <n v="8"/>
    <n v="2024"/>
    <s v="Sunday"/>
    <x v="2"/>
    <n v="9"/>
    <n v="69513.61"/>
    <s v="Sneha Reddy"/>
    <n v="58"/>
    <x v="1"/>
    <s v="UPI"/>
    <n v="5"/>
    <s v="OnePlus 9"/>
  </r>
  <r>
    <n v="3663"/>
    <n v="18"/>
    <n v="8"/>
    <n v="2024"/>
    <s v="Sunday"/>
    <x v="4"/>
    <n v="3"/>
    <n v="12317"/>
    <s v="Aditya Joshi"/>
    <n v="23"/>
    <x v="2"/>
    <s v="UPI"/>
    <n v="4"/>
    <s v="iPhone SE"/>
  </r>
  <r>
    <n v="3664"/>
    <n v="18"/>
    <n v="8"/>
    <n v="2024"/>
    <s v="Sunday"/>
    <x v="1"/>
    <n v="9"/>
    <n v="17696.61"/>
    <s v="Lata Shah"/>
    <n v="50"/>
    <x v="14"/>
    <s v="Debit Card"/>
    <n v="4"/>
    <s v="Vivo V20"/>
  </r>
  <r>
    <n v="3665"/>
    <n v="19"/>
    <n v="8"/>
    <n v="2024"/>
    <s v="Monday"/>
    <x v="4"/>
    <n v="4"/>
    <n v="23478.33"/>
    <s v="Priya Varma"/>
    <n v="54"/>
    <x v="18"/>
    <s v="Credit Card"/>
    <n v="5"/>
    <s v="iPhone 11"/>
  </r>
  <r>
    <n v="3666"/>
    <n v="19"/>
    <n v="8"/>
    <n v="2024"/>
    <s v="Monday"/>
    <x v="1"/>
    <n v="7"/>
    <n v="58666.36"/>
    <s v="Deepika Deshmukh"/>
    <n v="59"/>
    <x v="7"/>
    <s v="Credit Card"/>
    <n v="2"/>
    <s v="Vivo S1"/>
  </r>
  <r>
    <n v="3667"/>
    <n v="19"/>
    <n v="8"/>
    <n v="2024"/>
    <s v="Monday"/>
    <x v="4"/>
    <n v="9"/>
    <n v="62711.03"/>
    <s v="Umesh Kaur"/>
    <n v="42"/>
    <x v="1"/>
    <s v="Credit Card"/>
    <n v="5"/>
    <s v="iPhone 11"/>
  </r>
  <r>
    <n v="3668"/>
    <n v="20"/>
    <n v="8"/>
    <n v="2024"/>
    <s v="Tuesday"/>
    <x v="2"/>
    <n v="2"/>
    <n v="14287.08"/>
    <s v="Sachin Sheth"/>
    <n v="30"/>
    <x v="2"/>
    <s v="Credit Card"/>
    <n v="3"/>
    <s v="OnePlus 8T"/>
  </r>
  <r>
    <n v="3669"/>
    <n v="20"/>
    <n v="8"/>
    <n v="2024"/>
    <s v="Tuesday"/>
    <x v="0"/>
    <n v="2"/>
    <n v="11947.61"/>
    <s v="Umesh Ghosh"/>
    <n v="40"/>
    <x v="5"/>
    <s v="UPI"/>
    <n v="4"/>
    <s v="Redmi Note 10"/>
  </r>
  <r>
    <n v="3670"/>
    <n v="20"/>
    <n v="8"/>
    <n v="2024"/>
    <s v="Tuesday"/>
    <x v="2"/>
    <n v="9"/>
    <n v="54673.41"/>
    <s v="Sumit Rathod"/>
    <n v="53"/>
    <x v="1"/>
    <s v="Debit Card"/>
    <n v="4"/>
    <s v="OnePlus 9"/>
  </r>
  <r>
    <n v="3671"/>
    <n v="21"/>
    <n v="8"/>
    <n v="2024"/>
    <s v="Wednesday"/>
    <x v="3"/>
    <n v="3"/>
    <n v="18001.12"/>
    <s v="Vijay Varma"/>
    <n v="50"/>
    <x v="5"/>
    <s v="Debit Card"/>
    <n v="4"/>
    <s v="Galaxy Note 20"/>
  </r>
  <r>
    <n v="3672"/>
    <n v="21"/>
    <n v="8"/>
    <n v="2024"/>
    <s v="Wednesday"/>
    <x v="0"/>
    <n v="9"/>
    <n v="17979.919999999998"/>
    <s v="Priyanka Roy"/>
    <n v="38"/>
    <x v="2"/>
    <s v="Credit Card"/>
    <n v="2"/>
    <s v="Redmi Note 10"/>
  </r>
  <r>
    <n v="3673"/>
    <n v="21"/>
    <n v="8"/>
    <n v="2024"/>
    <s v="Wednesday"/>
    <x v="2"/>
    <n v="5"/>
    <n v="11341.99"/>
    <s v="Manoj Mehta"/>
    <n v="51"/>
    <x v="17"/>
    <s v="UPI"/>
    <n v="5"/>
    <s v="OnePlus 8T"/>
  </r>
  <r>
    <n v="3674"/>
    <n v="22"/>
    <n v="8"/>
    <n v="2024"/>
    <s v="Thursday"/>
    <x v="3"/>
    <n v="6"/>
    <n v="12988.47"/>
    <s v="Pooja Rao"/>
    <n v="53"/>
    <x v="2"/>
    <s v="Credit Card"/>
    <n v="2"/>
    <s v="Galaxy S21"/>
  </r>
  <r>
    <n v="3675"/>
    <n v="22"/>
    <n v="8"/>
    <n v="2024"/>
    <s v="Thursday"/>
    <x v="1"/>
    <n v="2"/>
    <n v="25820.53"/>
    <s v="Tanuja Ahuja"/>
    <n v="34"/>
    <x v="3"/>
    <s v="Credit Card"/>
    <n v="4"/>
    <s v="Vivo V20"/>
  </r>
  <r>
    <n v="3676"/>
    <n v="22"/>
    <n v="8"/>
    <n v="2024"/>
    <s v="Thursday"/>
    <x v="1"/>
    <n v="8"/>
    <n v="13900.33"/>
    <s v="Bhavana Srivastava"/>
    <n v="27"/>
    <x v="9"/>
    <s v="Debit Card"/>
    <n v="5"/>
    <s v="Vivo Y51"/>
  </r>
  <r>
    <n v="3677"/>
    <n v="23"/>
    <n v="8"/>
    <n v="2024"/>
    <s v="Friday"/>
    <x v="4"/>
    <n v="9"/>
    <n v="32132.75"/>
    <s v="Gita Bhattacharya"/>
    <n v="40"/>
    <x v="1"/>
    <s v="Debit Card"/>
    <n v="4"/>
    <s v="iPhone SE"/>
  </r>
  <r>
    <n v="3678"/>
    <n v="23"/>
    <n v="8"/>
    <n v="2024"/>
    <s v="Friday"/>
    <x v="0"/>
    <n v="2"/>
    <n v="59966.5"/>
    <s v="Umesh Patel"/>
    <n v="19"/>
    <x v="0"/>
    <s v="Credit Card"/>
    <n v="5"/>
    <s v="Redmi Note 10"/>
  </r>
  <r>
    <n v="3679"/>
    <n v="23"/>
    <n v="8"/>
    <n v="2024"/>
    <s v="Friday"/>
    <x v="1"/>
    <n v="6"/>
    <n v="29579.22"/>
    <s v="Arun Shah"/>
    <n v="52"/>
    <x v="17"/>
    <s v="UPI"/>
    <n v="5"/>
    <s v="Vivo Y51"/>
  </r>
  <r>
    <n v="3680"/>
    <n v="24"/>
    <n v="8"/>
    <n v="2024"/>
    <s v="Saturday"/>
    <x v="0"/>
    <n v="6"/>
    <n v="53670.05"/>
    <s v="Kunal Deshmukh"/>
    <n v="31"/>
    <x v="12"/>
    <s v="Credit Card"/>
    <n v="4"/>
    <s v="Redmi 9"/>
  </r>
  <r>
    <n v="3681"/>
    <n v="24"/>
    <n v="8"/>
    <n v="2024"/>
    <s v="Saturday"/>
    <x v="1"/>
    <n v="8"/>
    <n v="15634.6"/>
    <s v="Rohan Pathak"/>
    <n v="58"/>
    <x v="1"/>
    <s v="Debit Card"/>
    <n v="4"/>
    <s v="Vivo V20"/>
  </r>
  <r>
    <n v="3682"/>
    <n v="24"/>
    <n v="8"/>
    <n v="2024"/>
    <s v="Saturday"/>
    <x v="4"/>
    <n v="5"/>
    <n v="49562.51"/>
    <s v="Radha Bhatnagar"/>
    <n v="19"/>
    <x v="18"/>
    <s v="Debit Card"/>
    <n v="5"/>
    <s v="iPhone 12"/>
  </r>
  <r>
    <n v="3683"/>
    <n v="24"/>
    <n v="8"/>
    <n v="2024"/>
    <s v="Saturday"/>
    <x v="2"/>
    <n v="9"/>
    <n v="29004.83"/>
    <s v="Rajesh Desai"/>
    <n v="36"/>
    <x v="2"/>
    <s v="UPI"/>
    <n v="2"/>
    <s v="OnePlus 8T"/>
  </r>
  <r>
    <n v="3684"/>
    <n v="25"/>
    <n v="8"/>
    <n v="2024"/>
    <s v="Sunday"/>
    <x v="4"/>
    <n v="1"/>
    <n v="54985.17"/>
    <s v="Nikhil Bhattacharya"/>
    <n v="33"/>
    <x v="7"/>
    <s v="Credit Card"/>
    <n v="2"/>
    <s v="iPhone 12"/>
  </r>
  <r>
    <n v="3685"/>
    <n v="25"/>
    <n v="8"/>
    <n v="2024"/>
    <s v="Sunday"/>
    <x v="3"/>
    <n v="9"/>
    <n v="18175.12"/>
    <s v="Rohan Deshmukh"/>
    <n v="42"/>
    <x v="2"/>
    <s v="Credit Card"/>
    <n v="2"/>
    <s v="Galaxy Note 20"/>
  </r>
  <r>
    <n v="3686"/>
    <n v="25"/>
    <n v="8"/>
    <n v="2024"/>
    <s v="Sunday"/>
    <x v="1"/>
    <n v="7"/>
    <n v="63873"/>
    <s v="Anand Thakur"/>
    <n v="18"/>
    <x v="17"/>
    <s v="Cash"/>
    <n v="3"/>
    <s v="Vivo Y51"/>
  </r>
  <r>
    <n v="3687"/>
    <n v="26"/>
    <n v="8"/>
    <n v="2024"/>
    <s v="Monday"/>
    <x v="3"/>
    <n v="4"/>
    <n v="24554.63"/>
    <s v="Sneha Teja"/>
    <n v="19"/>
    <x v="1"/>
    <s v="Credit Card"/>
    <n v="5"/>
    <s v="Galaxy S21"/>
  </r>
  <r>
    <n v="3688"/>
    <n v="26"/>
    <n v="8"/>
    <n v="2024"/>
    <s v="Monday"/>
    <x v="3"/>
    <n v="3"/>
    <n v="31188.27"/>
    <s v="Rajesh Mathur"/>
    <n v="44"/>
    <x v="1"/>
    <s v="UPI"/>
    <n v="3"/>
    <s v="Galaxy A51"/>
  </r>
  <r>
    <n v="3689"/>
    <n v="26"/>
    <n v="8"/>
    <n v="2024"/>
    <s v="Monday"/>
    <x v="0"/>
    <n v="6"/>
    <n v="67010.84"/>
    <s v="Amit Pillai"/>
    <n v="19"/>
    <x v="1"/>
    <s v="Debit Card"/>
    <n v="3"/>
    <s v="Redmi Note 10"/>
  </r>
  <r>
    <n v="3690"/>
    <n v="27"/>
    <n v="8"/>
    <n v="2024"/>
    <s v="Tuesday"/>
    <x v="1"/>
    <n v="1"/>
    <n v="44708.94"/>
    <s v="Pankaj Varma"/>
    <n v="47"/>
    <x v="2"/>
    <s v="Cash"/>
    <n v="5"/>
    <s v="Vivo S1"/>
  </r>
  <r>
    <n v="3691"/>
    <n v="27"/>
    <n v="8"/>
    <n v="2024"/>
    <s v="Tuesday"/>
    <x v="3"/>
    <n v="3"/>
    <n v="31946.29"/>
    <s v="Pankaj Pathak"/>
    <n v="27"/>
    <x v="17"/>
    <s v="UPI"/>
    <n v="3"/>
    <s v="Galaxy S21"/>
  </r>
  <r>
    <n v="3692"/>
    <n v="27"/>
    <n v="8"/>
    <n v="2024"/>
    <s v="Tuesday"/>
    <x v="2"/>
    <n v="2"/>
    <n v="66976.13"/>
    <s v="Anand Reddy"/>
    <n v="36"/>
    <x v="0"/>
    <s v="UPI"/>
    <n v="5"/>
    <s v="OnePlus Nord"/>
  </r>
  <r>
    <n v="3693"/>
    <n v="28"/>
    <n v="8"/>
    <n v="2024"/>
    <s v="Wednesday"/>
    <x v="3"/>
    <n v="9"/>
    <n v="29744.65"/>
    <s v="Rohan Kapoor"/>
    <n v="59"/>
    <x v="9"/>
    <s v="Cash"/>
    <n v="5"/>
    <s v="Galaxy S21"/>
  </r>
  <r>
    <n v="3694"/>
    <n v="28"/>
    <n v="8"/>
    <n v="2024"/>
    <s v="Wednesday"/>
    <x v="2"/>
    <n v="3"/>
    <n v="15692.24"/>
    <s v="Tanuja Bhattacharya"/>
    <n v="33"/>
    <x v="1"/>
    <s v="Credit Card"/>
    <n v="5"/>
    <s v="OnePlus Nord"/>
  </r>
  <r>
    <n v="3695"/>
    <n v="28"/>
    <n v="8"/>
    <n v="2024"/>
    <s v="Wednesday"/>
    <x v="0"/>
    <n v="2"/>
    <n v="69810.929999999993"/>
    <s v="Aditya Deshmukh"/>
    <n v="30"/>
    <x v="8"/>
    <s v="Cash"/>
    <n v="5"/>
    <s v="Redmi 9"/>
  </r>
  <r>
    <n v="3696"/>
    <n v="29"/>
    <n v="8"/>
    <n v="2024"/>
    <s v="Thursday"/>
    <x v="3"/>
    <n v="4"/>
    <n v="26070.7"/>
    <s v="Shruti Menon"/>
    <n v="25"/>
    <x v="2"/>
    <s v="UPI"/>
    <n v="5"/>
    <s v="Galaxy S21"/>
  </r>
  <r>
    <n v="3697"/>
    <n v="29"/>
    <n v="8"/>
    <n v="2024"/>
    <s v="Thursday"/>
    <x v="4"/>
    <n v="2"/>
    <n v="61075.47"/>
    <s v="Sumit Joshi"/>
    <n v="48"/>
    <x v="2"/>
    <s v="Credit Card"/>
    <n v="5"/>
    <s v="iPhone 12"/>
  </r>
  <r>
    <n v="3698"/>
    <n v="29"/>
    <n v="8"/>
    <n v="2024"/>
    <s v="Thursday"/>
    <x v="0"/>
    <n v="1"/>
    <n v="19932.45"/>
    <s v="Namita Desai"/>
    <n v="42"/>
    <x v="2"/>
    <s v="Debit Card"/>
    <n v="2"/>
    <s v="Mi 11"/>
  </r>
  <r>
    <n v="3699"/>
    <n v="30"/>
    <n v="8"/>
    <n v="2024"/>
    <s v="Friday"/>
    <x v="2"/>
    <n v="6"/>
    <n v="53881.24"/>
    <s v="Ravi Thakur"/>
    <n v="56"/>
    <x v="3"/>
    <s v="Cash"/>
    <n v="5"/>
    <s v="OnePlus Nord"/>
  </r>
  <r>
    <n v="3700"/>
    <n v="30"/>
    <n v="8"/>
    <n v="2024"/>
    <s v="Friday"/>
    <x v="0"/>
    <n v="8"/>
    <n v="41466.959999999999"/>
    <s v="Nikhil Menon"/>
    <n v="38"/>
    <x v="16"/>
    <s v="UPI"/>
    <n v="4"/>
    <s v="Redmi Note 10"/>
  </r>
  <r>
    <n v="3701"/>
    <n v="30"/>
    <n v="8"/>
    <n v="2024"/>
    <s v="Friday"/>
    <x v="3"/>
    <n v="2"/>
    <n v="68854.39"/>
    <s v="Arun Gupta"/>
    <n v="55"/>
    <x v="1"/>
    <s v="Credit Card"/>
    <n v="5"/>
    <s v="Galaxy Note 20"/>
  </r>
  <r>
    <n v="3702"/>
    <n v="30"/>
    <n v="8"/>
    <n v="2024"/>
    <s v="Friday"/>
    <x v="1"/>
    <n v="9"/>
    <n v="43169.82"/>
    <s v="Lalita Alva"/>
    <n v="58"/>
    <x v="1"/>
    <s v="UPI"/>
    <n v="5"/>
    <s v="Vivo V20"/>
  </r>
  <r>
    <n v="3703"/>
    <n v="31"/>
    <n v="8"/>
    <n v="2024"/>
    <s v="Saturday"/>
    <x v="1"/>
    <n v="3"/>
    <n v="11500.91"/>
    <s v="Pankaj Deshmukh"/>
    <n v="46"/>
    <x v="5"/>
    <s v="Credit Card"/>
    <n v="5"/>
    <s v="Vivo S1"/>
  </r>
  <r>
    <n v="3704"/>
    <n v="31"/>
    <n v="8"/>
    <n v="2024"/>
    <s v="Saturday"/>
    <x v="2"/>
    <n v="8"/>
    <n v="46232.68"/>
    <s v="Kavita Desai"/>
    <n v="23"/>
    <x v="13"/>
    <s v="Credit Card"/>
    <n v="5"/>
    <s v="OnePlus 9"/>
  </r>
  <r>
    <n v="3705"/>
    <n v="31"/>
    <n v="8"/>
    <n v="2024"/>
    <s v="Saturday"/>
    <x v="2"/>
    <n v="8"/>
    <n v="18718.990000000002"/>
    <s v="Anjali Gupta"/>
    <n v="35"/>
    <x v="1"/>
    <s v="Cash"/>
    <n v="5"/>
    <s v="OnePlus 9"/>
  </r>
  <r>
    <n v="3706"/>
    <n v="1"/>
    <n v="9"/>
    <n v="2024"/>
    <s v="Sunday"/>
    <x v="1"/>
    <n v="3"/>
    <n v="57912.45"/>
    <s v="Anita Bhattacharya"/>
    <n v="52"/>
    <x v="1"/>
    <s v="Debit Card"/>
    <n v="5"/>
    <s v="Vivo Y51"/>
  </r>
  <r>
    <n v="3707"/>
    <n v="1"/>
    <n v="9"/>
    <n v="2024"/>
    <s v="Sunday"/>
    <x v="2"/>
    <n v="3"/>
    <n v="61394.09"/>
    <s v="Bhavana Luthra"/>
    <n v="44"/>
    <x v="13"/>
    <s v="Credit Card"/>
    <n v="5"/>
    <s v="OnePlus 9"/>
  </r>
  <r>
    <n v="3708"/>
    <n v="1"/>
    <n v="9"/>
    <n v="2024"/>
    <s v="Sunday"/>
    <x v="0"/>
    <n v="6"/>
    <n v="38925.61"/>
    <s v="Meena Kulkarni"/>
    <n v="22"/>
    <x v="2"/>
    <s v="UPI"/>
    <n v="5"/>
    <s v="Mi 11"/>
  </r>
  <r>
    <n v="3709"/>
    <n v="1"/>
    <n v="9"/>
    <n v="2024"/>
    <s v="Sunday"/>
    <x v="4"/>
    <n v="1"/>
    <n v="56993.29"/>
    <s v="Rohan Rao"/>
    <n v="24"/>
    <x v="1"/>
    <s v="Credit Card"/>
    <n v="4"/>
    <s v="iPhone SE"/>
  </r>
  <r>
    <n v="3710"/>
    <n v="2"/>
    <n v="9"/>
    <n v="2024"/>
    <s v="Monday"/>
    <x v="4"/>
    <n v="4"/>
    <n v="18706.64"/>
    <s v="Jyoti Sheth"/>
    <n v="27"/>
    <x v="1"/>
    <s v="Debit Card"/>
    <n v="3"/>
    <s v="iPhone SE"/>
  </r>
  <r>
    <n v="3711"/>
    <n v="2"/>
    <n v="9"/>
    <n v="2024"/>
    <s v="Monday"/>
    <x v="0"/>
    <n v="1"/>
    <n v="39524.69"/>
    <s v="Isha Kaur"/>
    <n v="27"/>
    <x v="2"/>
    <s v="UPI"/>
    <n v="4"/>
    <s v="Redmi Note 10"/>
  </r>
  <r>
    <n v="3712"/>
    <n v="2"/>
    <n v="9"/>
    <n v="2024"/>
    <s v="Monday"/>
    <x v="4"/>
    <n v="3"/>
    <n v="33636.660000000003"/>
    <s v="Pooja Sharma"/>
    <n v="45"/>
    <x v="13"/>
    <s v="Credit Card"/>
    <n v="4"/>
    <s v="iPhone 11"/>
  </r>
  <r>
    <n v="3713"/>
    <n v="2"/>
    <n v="9"/>
    <n v="2024"/>
    <s v="Monday"/>
    <x v="3"/>
    <n v="9"/>
    <n v="46679.040000000001"/>
    <s v="Meena Menon"/>
    <n v="53"/>
    <x v="5"/>
    <s v="Credit Card"/>
    <n v="5"/>
    <s v="Galaxy A51"/>
  </r>
  <r>
    <n v="3714"/>
    <n v="3"/>
    <n v="9"/>
    <n v="2024"/>
    <s v="Tuesday"/>
    <x v="0"/>
    <n v="5"/>
    <n v="12668.63"/>
    <s v="Tapan Chatterjee"/>
    <n v="27"/>
    <x v="14"/>
    <s v="Cash"/>
    <n v="4"/>
    <s v="Redmi Note 10"/>
  </r>
  <r>
    <n v="3715"/>
    <n v="3"/>
    <n v="9"/>
    <n v="2024"/>
    <s v="Tuesday"/>
    <x v="2"/>
    <n v="5"/>
    <n v="55127.37"/>
    <s v="Mala Thakur"/>
    <n v="52"/>
    <x v="6"/>
    <s v="Debit Card"/>
    <n v="5"/>
    <s v="OnePlus 9"/>
  </r>
  <r>
    <n v="3716"/>
    <n v="3"/>
    <n v="9"/>
    <n v="2024"/>
    <s v="Tuesday"/>
    <x v="0"/>
    <n v="4"/>
    <n v="14747.76"/>
    <s v="Anjali Roy"/>
    <n v="52"/>
    <x v="16"/>
    <s v="Credit Card"/>
    <n v="2"/>
    <s v="Redmi Note 10"/>
  </r>
  <r>
    <n v="3717"/>
    <n v="4"/>
    <n v="9"/>
    <n v="2024"/>
    <s v="Wednesday"/>
    <x v="1"/>
    <n v="3"/>
    <n v="49388.29"/>
    <s v="Pooja Rao"/>
    <n v="54"/>
    <x v="4"/>
    <s v="Debit Card"/>
    <n v="5"/>
    <s v="Vivo V20"/>
  </r>
  <r>
    <n v="3718"/>
    <n v="4"/>
    <n v="9"/>
    <n v="2024"/>
    <s v="Wednesday"/>
    <x v="2"/>
    <n v="5"/>
    <n v="11107.43"/>
    <s v="Meena Yadav"/>
    <n v="37"/>
    <x v="14"/>
    <s v="Credit Card"/>
    <n v="3"/>
    <s v="OnePlus 9"/>
  </r>
  <r>
    <n v="3719"/>
    <n v="4"/>
    <n v="9"/>
    <n v="2024"/>
    <s v="Wednesday"/>
    <x v="1"/>
    <n v="4"/>
    <n v="59913.279999999999"/>
    <s v="Ayesha Rathod"/>
    <n v="30"/>
    <x v="12"/>
    <s v="UPI"/>
    <n v="2"/>
    <s v="Vivo Y51"/>
  </r>
  <r>
    <n v="3720"/>
    <n v="5"/>
    <n v="9"/>
    <n v="2024"/>
    <s v="Thursday"/>
    <x v="2"/>
    <n v="8"/>
    <n v="20481.98"/>
    <s v="Deepika Menon"/>
    <n v="28"/>
    <x v="2"/>
    <s v="Debit Card"/>
    <n v="5"/>
    <s v="OnePlus 9"/>
  </r>
  <r>
    <n v="3721"/>
    <n v="5"/>
    <n v="9"/>
    <n v="2024"/>
    <s v="Thursday"/>
    <x v="4"/>
    <n v="4"/>
    <n v="40929.85"/>
    <s v="Deepika Pathak"/>
    <n v="36"/>
    <x v="1"/>
    <s v="UPI"/>
    <n v="5"/>
    <s v="iPhone 12"/>
  </r>
  <r>
    <n v="3722"/>
    <n v="5"/>
    <n v="9"/>
    <n v="2024"/>
    <s v="Thursday"/>
    <x v="0"/>
    <n v="8"/>
    <n v="25689.57"/>
    <s v="Vivek Mishra"/>
    <n v="45"/>
    <x v="2"/>
    <s v="Debit Card"/>
    <n v="3"/>
    <s v="Redmi Note 10"/>
  </r>
  <r>
    <n v="3723"/>
    <n v="6"/>
    <n v="9"/>
    <n v="2024"/>
    <s v="Friday"/>
    <x v="3"/>
    <n v="6"/>
    <n v="53358.83"/>
    <s v="Rajesh Ahuja"/>
    <n v="55"/>
    <x v="1"/>
    <s v="UPI"/>
    <n v="4"/>
    <s v="Galaxy S21"/>
  </r>
  <r>
    <n v="3724"/>
    <n v="6"/>
    <n v="9"/>
    <n v="2024"/>
    <s v="Friday"/>
    <x v="2"/>
    <n v="5"/>
    <n v="29281.07"/>
    <s v="Harish Kumar"/>
    <n v="21"/>
    <x v="3"/>
    <s v="Credit Card"/>
    <n v="5"/>
    <s v="OnePlus 9"/>
  </r>
  <r>
    <n v="3725"/>
    <n v="6"/>
    <n v="9"/>
    <n v="2024"/>
    <s v="Friday"/>
    <x v="2"/>
    <n v="4"/>
    <n v="53476.55"/>
    <s v="Mala Teja"/>
    <n v="54"/>
    <x v="1"/>
    <s v="UPI"/>
    <n v="3"/>
    <s v="OnePlus 9"/>
  </r>
  <r>
    <n v="3726"/>
    <n v="7"/>
    <n v="9"/>
    <n v="2024"/>
    <s v="Saturday"/>
    <x v="1"/>
    <n v="4"/>
    <n v="27092.27"/>
    <s v="Amit Ahuja"/>
    <n v="36"/>
    <x v="1"/>
    <s v="UPI"/>
    <n v="5"/>
    <s v="Vivo V20"/>
  </r>
  <r>
    <n v="3727"/>
    <n v="7"/>
    <n v="9"/>
    <n v="2024"/>
    <s v="Saturday"/>
    <x v="4"/>
    <n v="4"/>
    <n v="55148.39"/>
    <s v="Mala Thakur"/>
    <n v="54"/>
    <x v="3"/>
    <s v="Credit Card"/>
    <n v="5"/>
    <s v="iPhone SE"/>
  </r>
  <r>
    <n v="3728"/>
    <n v="7"/>
    <n v="9"/>
    <n v="2024"/>
    <s v="Saturday"/>
    <x v="1"/>
    <n v="9"/>
    <n v="11836.33"/>
    <s v="Ayesha Rathod"/>
    <n v="31"/>
    <x v="14"/>
    <s v="Debit Card"/>
    <n v="5"/>
    <s v="Vivo S1"/>
  </r>
  <r>
    <n v="3729"/>
    <n v="7"/>
    <n v="9"/>
    <n v="2024"/>
    <s v="Saturday"/>
    <x v="1"/>
    <n v="4"/>
    <n v="26998.68"/>
    <s v="Mala Arora"/>
    <n v="48"/>
    <x v="18"/>
    <s v="UPI"/>
    <n v="4"/>
    <s v="Vivo V20"/>
  </r>
  <r>
    <n v="3730"/>
    <n v="8"/>
    <n v="9"/>
    <n v="2024"/>
    <s v="Sunday"/>
    <x v="4"/>
    <n v="9"/>
    <n v="39918.01"/>
    <s v="Jyoti Varma"/>
    <n v="45"/>
    <x v="7"/>
    <s v="Cash"/>
    <n v="4"/>
    <s v="iPhone 11"/>
  </r>
  <r>
    <n v="3731"/>
    <n v="8"/>
    <n v="9"/>
    <n v="2024"/>
    <s v="Sunday"/>
    <x v="3"/>
    <n v="6"/>
    <n v="12703.57"/>
    <s v="Sunita Iyer"/>
    <n v="53"/>
    <x v="2"/>
    <s v="Cash"/>
    <n v="5"/>
    <s v="Galaxy S21"/>
  </r>
  <r>
    <n v="3732"/>
    <n v="8"/>
    <n v="9"/>
    <n v="2024"/>
    <s v="Sunday"/>
    <x v="1"/>
    <n v="7"/>
    <n v="21162.04"/>
    <s v="Sachin Joshi"/>
    <n v="55"/>
    <x v="1"/>
    <s v="UPI"/>
    <n v="5"/>
    <s v="Vivo Y51"/>
  </r>
  <r>
    <n v="3733"/>
    <n v="9"/>
    <n v="9"/>
    <n v="2024"/>
    <s v="Monday"/>
    <x v="1"/>
    <n v="3"/>
    <n v="66072.22"/>
    <s v="Lalita Rathod"/>
    <n v="36"/>
    <x v="14"/>
    <s v="UPI"/>
    <n v="4"/>
    <s v="Vivo Y51"/>
  </r>
  <r>
    <n v="3734"/>
    <n v="9"/>
    <n v="9"/>
    <n v="2024"/>
    <s v="Monday"/>
    <x v="2"/>
    <n v="8"/>
    <n v="68610.06"/>
    <s v="Radha Ghosh"/>
    <n v="59"/>
    <x v="11"/>
    <s v="UPI"/>
    <n v="3"/>
    <s v="OnePlus 8T"/>
  </r>
  <r>
    <n v="3735"/>
    <n v="9"/>
    <n v="9"/>
    <n v="2024"/>
    <s v="Monday"/>
    <x v="4"/>
    <n v="3"/>
    <n v="54385"/>
    <s v="Priyanka Pillai"/>
    <n v="18"/>
    <x v="2"/>
    <s v="Debit Card"/>
    <n v="5"/>
    <s v="iPhone 11"/>
  </r>
  <r>
    <n v="3736"/>
    <n v="10"/>
    <n v="9"/>
    <n v="2024"/>
    <s v="Tuesday"/>
    <x v="0"/>
    <n v="1"/>
    <n v="25132"/>
    <s v="Harish Kaur"/>
    <n v="40"/>
    <x v="1"/>
    <s v="Credit Card"/>
    <n v="3"/>
    <s v="Mi 11"/>
  </r>
  <r>
    <n v="3737"/>
    <n v="10"/>
    <n v="9"/>
    <n v="2024"/>
    <s v="Tuesday"/>
    <x v="3"/>
    <n v="5"/>
    <n v="25631.05"/>
    <s v="Lata Shah"/>
    <n v="45"/>
    <x v="1"/>
    <s v="Cash"/>
    <n v="2"/>
    <s v="Galaxy A51"/>
  </r>
  <r>
    <n v="3738"/>
    <n v="10"/>
    <n v="9"/>
    <n v="2024"/>
    <s v="Tuesday"/>
    <x v="3"/>
    <n v="2"/>
    <n v="48747.42"/>
    <s v="Mala Roy"/>
    <n v="21"/>
    <x v="18"/>
    <s v="Cash"/>
    <n v="5"/>
    <s v="Galaxy S21"/>
  </r>
  <r>
    <n v="3739"/>
    <n v="11"/>
    <n v="9"/>
    <n v="2024"/>
    <s v="Wednesday"/>
    <x v="4"/>
    <n v="6"/>
    <n v="17055.98"/>
    <s v="Radha Ghosh"/>
    <n v="58"/>
    <x v="3"/>
    <s v="Debit Card"/>
    <n v="4"/>
    <s v="iPhone SE"/>
  </r>
  <r>
    <n v="3740"/>
    <n v="11"/>
    <n v="9"/>
    <n v="2024"/>
    <s v="Wednesday"/>
    <x v="2"/>
    <n v="9"/>
    <n v="66898.559999999998"/>
    <s v="Ramesh Nambiar"/>
    <n v="35"/>
    <x v="1"/>
    <s v="UPI"/>
    <n v="2"/>
    <s v="OnePlus Nord"/>
  </r>
  <r>
    <n v="3741"/>
    <n v="11"/>
    <n v="9"/>
    <n v="2024"/>
    <s v="Wednesday"/>
    <x v="2"/>
    <n v="1"/>
    <n v="23488.77"/>
    <s v="Arun Desai"/>
    <n v="56"/>
    <x v="16"/>
    <s v="UPI"/>
    <n v="4"/>
    <s v="OnePlus 9"/>
  </r>
  <r>
    <n v="3742"/>
    <n v="12"/>
    <n v="9"/>
    <n v="2024"/>
    <s v="Thursday"/>
    <x v="4"/>
    <n v="4"/>
    <n v="69978.14"/>
    <s v="Sachin Arora"/>
    <n v="42"/>
    <x v="16"/>
    <s v="Credit Card"/>
    <n v="2"/>
    <s v="iPhone SE"/>
  </r>
  <r>
    <n v="3743"/>
    <n v="12"/>
    <n v="9"/>
    <n v="2024"/>
    <s v="Thursday"/>
    <x v="2"/>
    <n v="1"/>
    <n v="39744.03"/>
    <s v="Sunil Varma"/>
    <n v="35"/>
    <x v="2"/>
    <s v="Credit Card"/>
    <n v="4"/>
    <s v="OnePlus 9"/>
  </r>
  <r>
    <n v="3744"/>
    <n v="12"/>
    <n v="9"/>
    <n v="2024"/>
    <s v="Thursday"/>
    <x v="3"/>
    <n v="1"/>
    <n v="56285.8"/>
    <s v="Sachin Ghosh"/>
    <n v="23"/>
    <x v="7"/>
    <s v="Cash"/>
    <n v="5"/>
    <s v="Galaxy S21"/>
  </r>
  <r>
    <n v="3745"/>
    <n v="13"/>
    <n v="9"/>
    <n v="2024"/>
    <s v="Friday"/>
    <x v="3"/>
    <n v="8"/>
    <n v="10131.049999999999"/>
    <s v="Vivek Sheth"/>
    <n v="36"/>
    <x v="2"/>
    <s v="Credit Card"/>
    <n v="5"/>
    <s v="Galaxy S21"/>
  </r>
  <r>
    <n v="3746"/>
    <n v="13"/>
    <n v="9"/>
    <n v="2024"/>
    <s v="Friday"/>
    <x v="0"/>
    <n v="2"/>
    <n v="63324.78"/>
    <s v="Anita Desai"/>
    <n v="29"/>
    <x v="1"/>
    <s v="Cash"/>
    <n v="3"/>
    <s v="Redmi Note 10"/>
  </r>
  <r>
    <n v="3747"/>
    <n v="13"/>
    <n v="9"/>
    <n v="2024"/>
    <s v="Friday"/>
    <x v="4"/>
    <n v="1"/>
    <n v="26200.12"/>
    <s v="Gita Rathod"/>
    <n v="42"/>
    <x v="15"/>
    <s v="Debit Card"/>
    <n v="2"/>
    <s v="iPhone 11"/>
  </r>
  <r>
    <n v="3748"/>
    <n v="14"/>
    <n v="9"/>
    <n v="2024"/>
    <s v="Saturday"/>
    <x v="1"/>
    <n v="8"/>
    <n v="50076.2"/>
    <s v="Bhavana Arora"/>
    <n v="52"/>
    <x v="1"/>
    <s v="UPI"/>
    <n v="3"/>
    <s v="Vivo Y51"/>
  </r>
  <r>
    <n v="3749"/>
    <n v="14"/>
    <n v="9"/>
    <n v="2024"/>
    <s v="Saturday"/>
    <x v="1"/>
    <n v="4"/>
    <n v="58381.32"/>
    <s v="Sneha Kaur"/>
    <n v="18"/>
    <x v="18"/>
    <s v="UPI"/>
    <n v="3"/>
    <s v="Vivo S1"/>
  </r>
  <r>
    <n v="3750"/>
    <n v="14"/>
    <n v="9"/>
    <n v="2024"/>
    <s v="Saturday"/>
    <x v="0"/>
    <n v="3"/>
    <n v="19848.86"/>
    <s v="Pankaj Teja"/>
    <n v="22"/>
    <x v="1"/>
    <s v="Cash"/>
    <n v="4"/>
    <s v="Redmi Note 10"/>
  </r>
  <r>
    <n v="3751"/>
    <n v="14"/>
    <n v="9"/>
    <n v="2024"/>
    <s v="Saturday"/>
    <x v="0"/>
    <n v="4"/>
    <n v="36550.57"/>
    <s v="Priya Siddiqui"/>
    <n v="18"/>
    <x v="4"/>
    <s v="UPI"/>
    <n v="5"/>
    <s v="Redmi Note 10"/>
  </r>
  <r>
    <n v="3752"/>
    <n v="15"/>
    <n v="9"/>
    <n v="2024"/>
    <s v="Sunday"/>
    <x v="2"/>
    <n v="5"/>
    <n v="39630.160000000003"/>
    <s v="Tapan Nair"/>
    <n v="25"/>
    <x v="1"/>
    <s v="Debit Card"/>
    <n v="4"/>
    <s v="OnePlus 9"/>
  </r>
  <r>
    <n v="3753"/>
    <n v="15"/>
    <n v="9"/>
    <n v="2024"/>
    <s v="Sunday"/>
    <x v="0"/>
    <n v="1"/>
    <n v="28727.17"/>
    <s v="Namita Teja"/>
    <n v="56"/>
    <x v="2"/>
    <s v="Credit Card"/>
    <n v="3"/>
    <s v="Redmi Note 10"/>
  </r>
  <r>
    <n v="3754"/>
    <n v="15"/>
    <n v="9"/>
    <n v="2024"/>
    <s v="Sunday"/>
    <x v="0"/>
    <n v="1"/>
    <n v="38905.35"/>
    <s v="Anjali Ahuja"/>
    <n v="35"/>
    <x v="10"/>
    <s v="Debit Card"/>
    <n v="5"/>
    <s v="Mi 11"/>
  </r>
  <r>
    <n v="3755"/>
    <n v="15"/>
    <n v="9"/>
    <n v="2024"/>
    <s v="Sunday"/>
    <x v="1"/>
    <n v="3"/>
    <n v="29052.74"/>
    <s v="Sumit Sharma"/>
    <n v="26"/>
    <x v="4"/>
    <s v="UPI"/>
    <n v="5"/>
    <s v="Vivo Y51"/>
  </r>
  <r>
    <n v="3756"/>
    <n v="16"/>
    <n v="9"/>
    <n v="2024"/>
    <s v="Monday"/>
    <x v="2"/>
    <n v="6"/>
    <n v="31644.86"/>
    <s v="Yogesh Kaur"/>
    <n v="22"/>
    <x v="10"/>
    <s v="Debit Card"/>
    <n v="5"/>
    <s v="OnePlus 8T"/>
  </r>
  <r>
    <n v="3757"/>
    <n v="16"/>
    <n v="9"/>
    <n v="2024"/>
    <s v="Monday"/>
    <x v="0"/>
    <n v="1"/>
    <n v="50159.87"/>
    <s v="Sanjay Bhattacharya"/>
    <n v="21"/>
    <x v="1"/>
    <s v="UPI"/>
    <n v="3"/>
    <s v="Redmi 9"/>
  </r>
  <r>
    <n v="3758"/>
    <n v="16"/>
    <n v="9"/>
    <n v="2024"/>
    <s v="Monday"/>
    <x v="0"/>
    <n v="2"/>
    <n v="47955.6"/>
    <s v="Kunal Deshmukh"/>
    <n v="46"/>
    <x v="9"/>
    <s v="Cash"/>
    <n v="4"/>
    <s v="Redmi Note 10"/>
  </r>
  <r>
    <n v="3759"/>
    <n v="17"/>
    <n v="9"/>
    <n v="2024"/>
    <s v="Tuesday"/>
    <x v="2"/>
    <n v="7"/>
    <n v="23935.94"/>
    <s v="Lalita Alva"/>
    <n v="18"/>
    <x v="1"/>
    <s v="Credit Card"/>
    <n v="5"/>
    <s v="OnePlus 8T"/>
  </r>
  <r>
    <n v="3760"/>
    <n v="17"/>
    <n v="9"/>
    <n v="2024"/>
    <s v="Tuesday"/>
    <x v="4"/>
    <n v="1"/>
    <n v="63848.97"/>
    <s v="Neeta Malhotra"/>
    <n v="47"/>
    <x v="7"/>
    <s v="Credit Card"/>
    <n v="2"/>
    <s v="iPhone 11"/>
  </r>
  <r>
    <n v="3761"/>
    <n v="17"/>
    <n v="9"/>
    <n v="2024"/>
    <s v="Tuesday"/>
    <x v="2"/>
    <n v="7"/>
    <n v="61767.31"/>
    <s v="Rajesh Mathur"/>
    <n v="18"/>
    <x v="1"/>
    <s v="UPI"/>
    <n v="4"/>
    <s v="OnePlus 9"/>
  </r>
  <r>
    <n v="3762"/>
    <n v="18"/>
    <n v="9"/>
    <n v="2024"/>
    <s v="Wednesday"/>
    <x v="1"/>
    <n v="4"/>
    <n v="40545"/>
    <s v="Manoj Rao"/>
    <n v="20"/>
    <x v="1"/>
    <s v="UPI"/>
    <n v="5"/>
    <s v="Vivo Y51"/>
  </r>
  <r>
    <n v="3763"/>
    <n v="18"/>
    <n v="9"/>
    <n v="2024"/>
    <s v="Wednesday"/>
    <x v="4"/>
    <n v="6"/>
    <n v="35995.040000000001"/>
    <s v="Neeta Sharma"/>
    <n v="39"/>
    <x v="11"/>
    <s v="Credit Card"/>
    <n v="4"/>
    <s v="iPhone 12"/>
  </r>
  <r>
    <n v="3764"/>
    <n v="18"/>
    <n v="9"/>
    <n v="2024"/>
    <s v="Wednesday"/>
    <x v="3"/>
    <n v="8"/>
    <n v="32611.360000000001"/>
    <s v="Sachin Shah"/>
    <n v="25"/>
    <x v="1"/>
    <s v="Debit Card"/>
    <n v="2"/>
    <s v="Galaxy S21"/>
  </r>
  <r>
    <n v="3765"/>
    <n v="19"/>
    <n v="9"/>
    <n v="2024"/>
    <s v="Thursday"/>
    <x v="2"/>
    <n v="9"/>
    <n v="52436.08"/>
    <s v="Deepika Iyer"/>
    <n v="35"/>
    <x v="13"/>
    <s v="Debit Card"/>
    <n v="5"/>
    <s v="OnePlus 8T"/>
  </r>
  <r>
    <n v="3766"/>
    <n v="19"/>
    <n v="9"/>
    <n v="2024"/>
    <s v="Thursday"/>
    <x v="1"/>
    <n v="6"/>
    <n v="50299.96"/>
    <s v="Vijay Das"/>
    <n v="42"/>
    <x v="1"/>
    <s v="Debit Card"/>
    <n v="5"/>
    <s v="Vivo S1"/>
  </r>
  <r>
    <n v="3767"/>
    <n v="19"/>
    <n v="9"/>
    <n v="2024"/>
    <s v="Thursday"/>
    <x v="4"/>
    <n v="9"/>
    <n v="21770.84"/>
    <s v="Isha Arora"/>
    <n v="37"/>
    <x v="5"/>
    <s v="Credit Card"/>
    <n v="2"/>
    <s v="iPhone 12"/>
  </r>
  <r>
    <n v="3768"/>
    <n v="19"/>
    <n v="9"/>
    <n v="2024"/>
    <s v="Thursday"/>
    <x v="2"/>
    <n v="4"/>
    <n v="50287.48"/>
    <s v="Manoj Sharma"/>
    <n v="48"/>
    <x v="4"/>
    <s v="Cash"/>
    <n v="2"/>
    <s v="OnePlus Nord"/>
  </r>
  <r>
    <n v="3769"/>
    <n v="20"/>
    <n v="9"/>
    <n v="2024"/>
    <s v="Friday"/>
    <x v="0"/>
    <n v="6"/>
    <n v="25145.87"/>
    <s v="Ayesha Ghosh"/>
    <n v="47"/>
    <x v="9"/>
    <s v="UPI"/>
    <n v="3"/>
    <s v="Mi 11"/>
  </r>
  <r>
    <n v="3770"/>
    <n v="20"/>
    <n v="9"/>
    <n v="2024"/>
    <s v="Friday"/>
    <x v="2"/>
    <n v="8"/>
    <n v="11113.5"/>
    <s v="Tapan Joshi"/>
    <n v="33"/>
    <x v="7"/>
    <s v="UPI"/>
    <n v="5"/>
    <s v="OnePlus 9"/>
  </r>
  <r>
    <n v="3771"/>
    <n v="20"/>
    <n v="9"/>
    <n v="2024"/>
    <s v="Friday"/>
    <x v="3"/>
    <n v="9"/>
    <n v="51952.52"/>
    <s v="Navin Solanki"/>
    <n v="19"/>
    <x v="16"/>
    <s v="Credit Card"/>
    <n v="3"/>
    <s v="Galaxy S21"/>
  </r>
  <r>
    <n v="3772"/>
    <n v="21"/>
    <n v="9"/>
    <n v="2024"/>
    <s v="Saturday"/>
    <x v="2"/>
    <n v="3"/>
    <n v="48687.62"/>
    <s v="Prashant Roy"/>
    <n v="34"/>
    <x v="1"/>
    <s v="Cash"/>
    <n v="4"/>
    <s v="OnePlus 8T"/>
  </r>
  <r>
    <n v="3773"/>
    <n v="21"/>
    <n v="9"/>
    <n v="2024"/>
    <s v="Saturday"/>
    <x v="4"/>
    <n v="2"/>
    <n v="34648.559999999998"/>
    <s v="Sneha Teja"/>
    <n v="27"/>
    <x v="2"/>
    <s v="Credit Card"/>
    <n v="2"/>
    <s v="iPhone SE"/>
  </r>
  <r>
    <n v="3774"/>
    <n v="21"/>
    <n v="9"/>
    <n v="2024"/>
    <s v="Saturday"/>
    <x v="4"/>
    <n v="6"/>
    <n v="41541.160000000003"/>
    <s v="Priyanka Verma"/>
    <n v="24"/>
    <x v="0"/>
    <s v="Debit Card"/>
    <n v="3"/>
    <s v="iPhone 11"/>
  </r>
  <r>
    <n v="3775"/>
    <n v="21"/>
    <n v="9"/>
    <n v="2024"/>
    <s v="Saturday"/>
    <x v="2"/>
    <n v="4"/>
    <n v="66830.149999999994"/>
    <s v="Sunil Chaudhary"/>
    <n v="59"/>
    <x v="13"/>
    <s v="Debit Card"/>
    <n v="5"/>
    <s v="OnePlus 8T"/>
  </r>
  <r>
    <n v="3776"/>
    <n v="22"/>
    <n v="9"/>
    <n v="2024"/>
    <s v="Sunday"/>
    <x v="4"/>
    <n v="1"/>
    <n v="45712.01"/>
    <s v="Priya Patel"/>
    <n v="26"/>
    <x v="13"/>
    <s v="UPI"/>
    <n v="5"/>
    <s v="iPhone 11"/>
  </r>
  <r>
    <n v="3777"/>
    <n v="22"/>
    <n v="9"/>
    <n v="2024"/>
    <s v="Sunday"/>
    <x v="0"/>
    <n v="8"/>
    <n v="49473.04"/>
    <s v="Kavita Dutta"/>
    <n v="34"/>
    <x v="2"/>
    <s v="UPI"/>
    <n v="2"/>
    <s v="Redmi 9"/>
  </r>
  <r>
    <n v="3778"/>
    <n v="22"/>
    <n v="9"/>
    <n v="2024"/>
    <s v="Sunday"/>
    <x v="2"/>
    <n v="9"/>
    <n v="13834.68"/>
    <s v="Lalita Shah"/>
    <n v="26"/>
    <x v="2"/>
    <s v="UPI"/>
    <n v="3"/>
    <s v="OnePlus 9"/>
  </r>
  <r>
    <n v="3779"/>
    <n v="23"/>
    <n v="9"/>
    <n v="2024"/>
    <s v="Monday"/>
    <x v="0"/>
    <n v="9"/>
    <n v="19959.669999999998"/>
    <s v="Rohan Sheth"/>
    <n v="26"/>
    <x v="9"/>
    <s v="UPI"/>
    <n v="5"/>
    <s v="Redmi Note 10"/>
  </r>
  <r>
    <n v="3780"/>
    <n v="23"/>
    <n v="9"/>
    <n v="2024"/>
    <s v="Monday"/>
    <x v="0"/>
    <n v="2"/>
    <n v="28057.14"/>
    <s v="Sachin Desai"/>
    <n v="54"/>
    <x v="1"/>
    <s v="Debit Card"/>
    <n v="2"/>
    <s v="Mi 11"/>
  </r>
  <r>
    <n v="3781"/>
    <n v="23"/>
    <n v="9"/>
    <n v="2024"/>
    <s v="Monday"/>
    <x v="1"/>
    <n v="9"/>
    <n v="42362.76"/>
    <s v="Bina Mishra"/>
    <n v="41"/>
    <x v="9"/>
    <s v="Debit Card"/>
    <n v="4"/>
    <s v="Vivo Y51"/>
  </r>
  <r>
    <n v="3782"/>
    <n v="24"/>
    <n v="9"/>
    <n v="2024"/>
    <s v="Tuesday"/>
    <x v="2"/>
    <n v="7"/>
    <n v="56595.45"/>
    <s v="Ramesh Varma"/>
    <n v="56"/>
    <x v="7"/>
    <s v="Cash"/>
    <n v="3"/>
    <s v="OnePlus Nord"/>
  </r>
  <r>
    <n v="3783"/>
    <n v="24"/>
    <n v="9"/>
    <n v="2024"/>
    <s v="Tuesday"/>
    <x v="4"/>
    <n v="5"/>
    <n v="29274.45"/>
    <s v="Monika Chatterjee"/>
    <n v="28"/>
    <x v="10"/>
    <s v="UPI"/>
    <n v="3"/>
    <s v="iPhone 11"/>
  </r>
  <r>
    <n v="3784"/>
    <n v="24"/>
    <n v="9"/>
    <n v="2024"/>
    <s v="Tuesday"/>
    <x v="0"/>
    <n v="7"/>
    <n v="31382.95"/>
    <s v="Monika Goyal"/>
    <n v="25"/>
    <x v="10"/>
    <s v="Credit Card"/>
    <n v="2"/>
    <s v="Redmi 9"/>
  </r>
  <r>
    <n v="3785"/>
    <n v="25"/>
    <n v="9"/>
    <n v="2024"/>
    <s v="Wednesday"/>
    <x v="1"/>
    <n v="9"/>
    <n v="25369.05"/>
    <s v="Deepika Desai"/>
    <n v="42"/>
    <x v="1"/>
    <s v="Cash"/>
    <n v="3"/>
    <s v="Vivo S1"/>
  </r>
  <r>
    <n v="3786"/>
    <n v="25"/>
    <n v="9"/>
    <n v="2024"/>
    <s v="Wednesday"/>
    <x v="2"/>
    <n v="8"/>
    <n v="25276.560000000001"/>
    <s v="Sumit Siddiqui"/>
    <n v="19"/>
    <x v="1"/>
    <s v="Cash"/>
    <n v="3"/>
    <s v="OnePlus Nord"/>
  </r>
  <r>
    <n v="3787"/>
    <n v="25"/>
    <n v="9"/>
    <n v="2024"/>
    <s v="Wednesday"/>
    <x v="2"/>
    <n v="6"/>
    <n v="66931.83"/>
    <s v="Shruti Dutta"/>
    <n v="27"/>
    <x v="1"/>
    <s v="Debit Card"/>
    <n v="4"/>
    <s v="OnePlus 8T"/>
  </r>
  <r>
    <n v="3788"/>
    <n v="26"/>
    <n v="9"/>
    <n v="2024"/>
    <s v="Thursday"/>
    <x v="3"/>
    <n v="4"/>
    <n v="48127.43"/>
    <s v="Bhavana Rathod"/>
    <n v="41"/>
    <x v="2"/>
    <s v="UPI"/>
    <n v="4"/>
    <s v="Galaxy S21"/>
  </r>
  <r>
    <n v="3789"/>
    <n v="26"/>
    <n v="9"/>
    <n v="2024"/>
    <s v="Thursday"/>
    <x v="3"/>
    <n v="1"/>
    <n v="19354.07"/>
    <s v="Sanjay Srivastava"/>
    <n v="33"/>
    <x v="2"/>
    <s v="Cash"/>
    <n v="5"/>
    <s v="Galaxy A51"/>
  </r>
  <r>
    <n v="3790"/>
    <n v="26"/>
    <n v="9"/>
    <n v="2024"/>
    <s v="Thursday"/>
    <x v="0"/>
    <n v="6"/>
    <n v="53334.91"/>
    <s v="Vinod Prasad"/>
    <n v="36"/>
    <x v="2"/>
    <s v="UPI"/>
    <n v="4"/>
    <s v="Redmi Note 10"/>
  </r>
  <r>
    <n v="3791"/>
    <n v="26"/>
    <n v="9"/>
    <n v="2024"/>
    <s v="Thursday"/>
    <x v="3"/>
    <n v="3"/>
    <n v="53321.27"/>
    <s v="Lalita Alva"/>
    <n v="48"/>
    <x v="6"/>
    <s v="Debit Card"/>
    <n v="5"/>
    <s v="Galaxy A51"/>
  </r>
  <r>
    <n v="3792"/>
    <n v="27"/>
    <n v="9"/>
    <n v="2024"/>
    <s v="Friday"/>
    <x v="0"/>
    <n v="6"/>
    <n v="49988.21"/>
    <s v="Monika Kumar"/>
    <n v="28"/>
    <x v="1"/>
    <s v="Cash"/>
    <n v="4"/>
    <s v="Mi 11"/>
  </r>
  <r>
    <n v="3793"/>
    <n v="27"/>
    <n v="9"/>
    <n v="2024"/>
    <s v="Friday"/>
    <x v="4"/>
    <n v="6"/>
    <n v="18083.23"/>
    <s v="Anita Shah"/>
    <n v="23"/>
    <x v="1"/>
    <s v="Cash"/>
    <n v="5"/>
    <s v="iPhone SE"/>
  </r>
  <r>
    <n v="3794"/>
    <n v="27"/>
    <n v="9"/>
    <n v="2024"/>
    <s v="Friday"/>
    <x v="0"/>
    <n v="4"/>
    <n v="34479.49"/>
    <s v="Sumit Malhotra"/>
    <n v="23"/>
    <x v="17"/>
    <s v="Credit Card"/>
    <n v="4"/>
    <s v="Redmi 9"/>
  </r>
  <r>
    <n v="3795"/>
    <n v="27"/>
    <n v="9"/>
    <n v="2024"/>
    <s v="Friday"/>
    <x v="3"/>
    <n v="2"/>
    <n v="16405.38"/>
    <s v="Harish Kapoor"/>
    <n v="49"/>
    <x v="5"/>
    <s v="Debit Card"/>
    <n v="4"/>
    <s v="Galaxy S21"/>
  </r>
  <r>
    <n v="3796"/>
    <n v="28"/>
    <n v="9"/>
    <n v="2024"/>
    <s v="Saturday"/>
    <x v="4"/>
    <n v="9"/>
    <n v="58997.23"/>
    <s v="Gita Bhattacharya"/>
    <n v="56"/>
    <x v="11"/>
    <s v="Credit Card"/>
    <n v="2"/>
    <s v="iPhone 11"/>
  </r>
  <r>
    <n v="3797"/>
    <n v="28"/>
    <n v="9"/>
    <n v="2024"/>
    <s v="Saturday"/>
    <x v="3"/>
    <n v="2"/>
    <n v="49310.33"/>
    <s v="Sumit Reddy"/>
    <n v="30"/>
    <x v="1"/>
    <s v="Debit Card"/>
    <n v="4"/>
    <s v="Galaxy A51"/>
  </r>
  <r>
    <n v="3798"/>
    <n v="28"/>
    <n v="9"/>
    <n v="2024"/>
    <s v="Saturday"/>
    <x v="0"/>
    <n v="3"/>
    <n v="40432.239999999998"/>
    <s v="Harish Malhotra"/>
    <n v="20"/>
    <x v="1"/>
    <s v="Credit Card"/>
    <n v="5"/>
    <s v="Mi 11"/>
  </r>
  <r>
    <n v="3799"/>
    <n v="29"/>
    <n v="9"/>
    <n v="2024"/>
    <s v="Sunday"/>
    <x v="1"/>
    <n v="1"/>
    <n v="30580.93"/>
    <s v="Yogesh Ahuja"/>
    <n v="58"/>
    <x v="3"/>
    <s v="Debit Card"/>
    <n v="2"/>
    <s v="Vivo V20"/>
  </r>
  <r>
    <n v="3800"/>
    <n v="29"/>
    <n v="9"/>
    <n v="2024"/>
    <s v="Sunday"/>
    <x v="2"/>
    <n v="7"/>
    <n v="21054.97"/>
    <s v="Priyanka Goyal"/>
    <n v="52"/>
    <x v="10"/>
    <s v="Debit Card"/>
    <n v="5"/>
    <s v="OnePlus 8T"/>
  </r>
  <r>
    <n v="3801"/>
    <n v="29"/>
    <n v="9"/>
    <n v="2024"/>
    <s v="Sunday"/>
    <x v="3"/>
    <n v="1"/>
    <n v="16386.86"/>
    <s v="Anand Bhattacharya"/>
    <n v="55"/>
    <x v="2"/>
    <s v="Cash"/>
    <n v="4"/>
    <s v="Galaxy Note 20"/>
  </r>
  <r>
    <n v="3802"/>
    <n v="30"/>
    <n v="9"/>
    <n v="2024"/>
    <s v="Monday"/>
    <x v="0"/>
    <n v="9"/>
    <n v="68154.44"/>
    <s v="Monika Rathod"/>
    <n v="34"/>
    <x v="12"/>
    <s v="Credit Card"/>
    <n v="4"/>
    <s v="Redmi Note 10"/>
  </r>
  <r>
    <n v="3803"/>
    <n v="30"/>
    <n v="9"/>
    <n v="2024"/>
    <s v="Monday"/>
    <x v="4"/>
    <n v="1"/>
    <n v="21978.92"/>
    <s v="Sachin Kaur"/>
    <n v="20"/>
    <x v="1"/>
    <s v="Credit Card"/>
    <n v="5"/>
    <s v="iPhone SE"/>
  </r>
  <r>
    <n v="3804"/>
    <n v="30"/>
    <n v="9"/>
    <n v="2024"/>
    <s v="Monday"/>
    <x v="3"/>
    <n v="5"/>
    <n v="13592.48"/>
    <s v="Kiran Mishra"/>
    <n v="51"/>
    <x v="5"/>
    <s v="Credit Card"/>
    <n v="3"/>
    <s v="Galaxy A51"/>
  </r>
  <r>
    <n v="3805"/>
    <n v="30"/>
    <n v="9"/>
    <n v="2024"/>
    <s v="Monday"/>
    <x v="3"/>
    <n v="7"/>
    <n v="67700.009999999995"/>
    <s v="Priya Sharma"/>
    <n v="29"/>
    <x v="2"/>
    <s v="Cash"/>
    <n v="2"/>
    <s v="Galaxy Note 20"/>
  </r>
  <r>
    <n v="3806"/>
    <n v="1"/>
    <n v="10"/>
    <n v="2024"/>
    <s v="Tuesday"/>
    <x v="2"/>
    <n v="3"/>
    <n v="42937.1"/>
    <s v="Lata Bhattacharya"/>
    <n v="41"/>
    <x v="17"/>
    <s v="UPI"/>
    <n v="2"/>
    <s v="OnePlus Nord"/>
  </r>
  <r>
    <n v="3807"/>
    <n v="1"/>
    <n v="10"/>
    <n v="2024"/>
    <s v="Tuesday"/>
    <x v="0"/>
    <n v="9"/>
    <n v="57799.4"/>
    <s v="Jyoti Jain"/>
    <n v="23"/>
    <x v="18"/>
    <s v="Debit Card"/>
    <n v="4"/>
    <s v="Redmi Note 10"/>
  </r>
  <r>
    <n v="3808"/>
    <n v="1"/>
    <n v="10"/>
    <n v="2024"/>
    <s v="Tuesday"/>
    <x v="1"/>
    <n v="8"/>
    <n v="12625.95"/>
    <s v="Anand Rao"/>
    <n v="59"/>
    <x v="1"/>
    <s v="Credit Card"/>
    <n v="2"/>
    <s v="Vivo Y51"/>
  </r>
  <r>
    <n v="3809"/>
    <n v="1"/>
    <n v="10"/>
    <n v="2024"/>
    <s v="Tuesday"/>
    <x v="4"/>
    <n v="3"/>
    <n v="44016.75"/>
    <s v="Sunita Roy"/>
    <n v="28"/>
    <x v="1"/>
    <s v="Debit Card"/>
    <n v="5"/>
    <s v="iPhone 11"/>
  </r>
  <r>
    <n v="3810"/>
    <n v="2"/>
    <n v="10"/>
    <n v="2024"/>
    <s v="Wednesday"/>
    <x v="0"/>
    <n v="5"/>
    <n v="33892.6"/>
    <s v="Reena Arora"/>
    <n v="44"/>
    <x v="4"/>
    <s v="Cash"/>
    <n v="4"/>
    <s v="Redmi 9"/>
  </r>
  <r>
    <n v="3811"/>
    <n v="2"/>
    <n v="10"/>
    <n v="2024"/>
    <s v="Wednesday"/>
    <x v="4"/>
    <n v="7"/>
    <n v="56317.87"/>
    <s v="Ramesh Solanki"/>
    <n v="41"/>
    <x v="9"/>
    <s v="Debit Card"/>
    <n v="2"/>
    <s v="iPhone SE"/>
  </r>
  <r>
    <n v="3812"/>
    <n v="2"/>
    <n v="10"/>
    <n v="2024"/>
    <s v="Wednesday"/>
    <x v="3"/>
    <n v="4"/>
    <n v="12305.54"/>
    <s v="Ramesh Kumar"/>
    <n v="35"/>
    <x v="12"/>
    <s v="Cash"/>
    <n v="5"/>
    <s v="Galaxy A51"/>
  </r>
  <r>
    <n v="3813"/>
    <n v="2"/>
    <n v="10"/>
    <n v="2024"/>
    <s v="Wednesday"/>
    <x v="2"/>
    <n v="5"/>
    <n v="34101.43"/>
    <s v="Arun Kumar"/>
    <n v="44"/>
    <x v="1"/>
    <s v="UPI"/>
    <n v="2"/>
    <s v="OnePlus 8T"/>
  </r>
  <r>
    <n v="3814"/>
    <n v="3"/>
    <n v="10"/>
    <n v="2024"/>
    <s v="Thursday"/>
    <x v="2"/>
    <n v="3"/>
    <n v="57944.41"/>
    <s v="Kiran Singh"/>
    <n v="58"/>
    <x v="12"/>
    <s v="Credit Card"/>
    <n v="5"/>
    <s v="OnePlus Nord"/>
  </r>
  <r>
    <n v="3815"/>
    <n v="3"/>
    <n v="10"/>
    <n v="2024"/>
    <s v="Thursday"/>
    <x v="1"/>
    <n v="9"/>
    <n v="41361.839999999997"/>
    <s v="Sumit Sheth"/>
    <n v="38"/>
    <x v="1"/>
    <s v="Cash"/>
    <n v="2"/>
    <s v="Vivo Y51"/>
  </r>
  <r>
    <n v="3816"/>
    <n v="3"/>
    <n v="10"/>
    <n v="2024"/>
    <s v="Thursday"/>
    <x v="2"/>
    <n v="9"/>
    <n v="43002.32"/>
    <s v="Kiran Rathod"/>
    <n v="51"/>
    <x v="1"/>
    <s v="Debit Card"/>
    <n v="3"/>
    <s v="OnePlus Nord"/>
  </r>
  <r>
    <n v="3817"/>
    <n v="3"/>
    <n v="10"/>
    <n v="2024"/>
    <s v="Thursday"/>
    <x v="3"/>
    <n v="7"/>
    <n v="15829.88"/>
    <s v="Pankaj Alva"/>
    <n v="50"/>
    <x v="7"/>
    <s v="Cash"/>
    <n v="3"/>
    <s v="Galaxy Note 20"/>
  </r>
  <r>
    <n v="3818"/>
    <n v="4"/>
    <n v="10"/>
    <n v="2024"/>
    <s v="Friday"/>
    <x v="1"/>
    <n v="2"/>
    <n v="17939.830000000002"/>
    <s v="Tanuja Teja"/>
    <n v="35"/>
    <x v="1"/>
    <s v="Cash"/>
    <n v="4"/>
    <s v="Vivo Y51"/>
  </r>
  <r>
    <n v="3819"/>
    <n v="4"/>
    <n v="10"/>
    <n v="2024"/>
    <s v="Friday"/>
    <x v="0"/>
    <n v="7"/>
    <n v="50619.98"/>
    <s v="Arun Shah"/>
    <n v="20"/>
    <x v="2"/>
    <s v="UPI"/>
    <n v="3"/>
    <s v="Mi 11"/>
  </r>
  <r>
    <n v="3820"/>
    <n v="4"/>
    <n v="10"/>
    <n v="2024"/>
    <s v="Friday"/>
    <x v="2"/>
    <n v="7"/>
    <n v="50502.8"/>
    <s v="Lalita Sheth"/>
    <n v="41"/>
    <x v="8"/>
    <s v="Credit Card"/>
    <n v="5"/>
    <s v="OnePlus Nord"/>
  </r>
  <r>
    <n v="3821"/>
    <n v="5"/>
    <n v="10"/>
    <n v="2024"/>
    <s v="Saturday"/>
    <x v="1"/>
    <n v="5"/>
    <n v="68746.2"/>
    <s v="Vivek Shah"/>
    <n v="18"/>
    <x v="1"/>
    <s v="Cash"/>
    <n v="5"/>
    <s v="Vivo S1"/>
  </r>
  <r>
    <n v="3822"/>
    <n v="5"/>
    <n v="10"/>
    <n v="2024"/>
    <s v="Saturday"/>
    <x v="3"/>
    <n v="9"/>
    <n v="52717.18"/>
    <s v="Lata Alva"/>
    <n v="23"/>
    <x v="13"/>
    <s v="Cash"/>
    <n v="5"/>
    <s v="Galaxy S21"/>
  </r>
  <r>
    <n v="3823"/>
    <n v="5"/>
    <n v="10"/>
    <n v="2024"/>
    <s v="Saturday"/>
    <x v="4"/>
    <n v="3"/>
    <n v="39594.61"/>
    <s v="Rajesh Ghosh"/>
    <n v="36"/>
    <x v="7"/>
    <s v="Debit Card"/>
    <n v="4"/>
    <s v="iPhone 11"/>
  </r>
  <r>
    <n v="3824"/>
    <n v="5"/>
    <n v="10"/>
    <n v="2024"/>
    <s v="Saturday"/>
    <x v="4"/>
    <n v="4"/>
    <n v="61439.67"/>
    <s v="Namita Patel"/>
    <n v="39"/>
    <x v="12"/>
    <s v="Cash"/>
    <n v="4"/>
    <s v="iPhone SE"/>
  </r>
  <r>
    <n v="3825"/>
    <n v="6"/>
    <n v="10"/>
    <n v="2024"/>
    <s v="Sunday"/>
    <x v="3"/>
    <n v="1"/>
    <n v="16268.38"/>
    <s v="Tapan Singh"/>
    <n v="25"/>
    <x v="12"/>
    <s v="Cash"/>
    <n v="3"/>
    <s v="Galaxy S21"/>
  </r>
  <r>
    <n v="3826"/>
    <n v="6"/>
    <n v="10"/>
    <n v="2024"/>
    <s v="Sunday"/>
    <x v="3"/>
    <n v="6"/>
    <n v="36957.75"/>
    <s v="Radha Kumar"/>
    <n v="22"/>
    <x v="1"/>
    <s v="Credit Card"/>
    <n v="5"/>
    <s v="Galaxy S21"/>
  </r>
  <r>
    <n v="3827"/>
    <n v="6"/>
    <n v="10"/>
    <n v="2024"/>
    <s v="Sunday"/>
    <x v="4"/>
    <n v="4"/>
    <n v="27226.55"/>
    <s v="Navin Solanki"/>
    <n v="26"/>
    <x v="15"/>
    <s v="Credit Card"/>
    <n v="3"/>
    <s v="iPhone SE"/>
  </r>
  <r>
    <n v="3828"/>
    <n v="7"/>
    <n v="10"/>
    <n v="2024"/>
    <s v="Monday"/>
    <x v="1"/>
    <n v="1"/>
    <n v="16278.27"/>
    <s v="Sumit Ghosh"/>
    <n v="38"/>
    <x v="14"/>
    <s v="Debit Card"/>
    <n v="5"/>
    <s v="Vivo Y51"/>
  </r>
  <r>
    <n v="3829"/>
    <n v="7"/>
    <n v="10"/>
    <n v="2024"/>
    <s v="Monday"/>
    <x v="4"/>
    <n v="2"/>
    <n v="55810.13"/>
    <s v="Rajesh Singh"/>
    <n v="45"/>
    <x v="11"/>
    <s v="Cash"/>
    <n v="5"/>
    <s v="iPhone 12"/>
  </r>
  <r>
    <n v="3830"/>
    <n v="7"/>
    <n v="10"/>
    <n v="2024"/>
    <s v="Monday"/>
    <x v="3"/>
    <n v="3"/>
    <n v="40647.519999999997"/>
    <s v="Meena Sheth"/>
    <n v="21"/>
    <x v="1"/>
    <s v="Cash"/>
    <n v="5"/>
    <s v="Galaxy S21"/>
  </r>
  <r>
    <n v="3831"/>
    <n v="7"/>
    <n v="10"/>
    <n v="2024"/>
    <s v="Monday"/>
    <x v="2"/>
    <n v="9"/>
    <n v="43406.12"/>
    <s v="Kavita Bhatnagar"/>
    <n v="41"/>
    <x v="2"/>
    <s v="Cash"/>
    <n v="5"/>
    <s v="OnePlus 8T"/>
  </r>
  <r>
    <n v="3832"/>
    <n v="8"/>
    <n v="10"/>
    <n v="2024"/>
    <s v="Tuesday"/>
    <x v="0"/>
    <n v="8"/>
    <n v="34675.31"/>
    <s v="Vivek Sheth"/>
    <n v="25"/>
    <x v="4"/>
    <s v="UPI"/>
    <n v="2"/>
    <s v="Redmi 9"/>
  </r>
  <r>
    <n v="3833"/>
    <n v="8"/>
    <n v="10"/>
    <n v="2024"/>
    <s v="Tuesday"/>
    <x v="2"/>
    <n v="7"/>
    <n v="37620.230000000003"/>
    <s v="Anita Desai"/>
    <n v="34"/>
    <x v="5"/>
    <s v="UPI"/>
    <n v="5"/>
    <s v="OnePlus 8T"/>
  </r>
  <r>
    <n v="3834"/>
    <n v="8"/>
    <n v="10"/>
    <n v="2024"/>
    <s v="Tuesday"/>
    <x v="2"/>
    <n v="4"/>
    <n v="16961.04"/>
    <s v="Ayesha Rathod"/>
    <n v="51"/>
    <x v="2"/>
    <s v="Debit Card"/>
    <n v="5"/>
    <s v="OnePlus 8T"/>
  </r>
  <r>
    <n v="3835"/>
    <n v="8"/>
    <n v="10"/>
    <n v="2024"/>
    <s v="Tuesday"/>
    <x v="3"/>
    <n v="1"/>
    <n v="50375.07"/>
    <s v="Sanjay Malhotra"/>
    <n v="37"/>
    <x v="17"/>
    <s v="UPI"/>
    <n v="3"/>
    <s v="Galaxy A51"/>
  </r>
  <r>
    <n v="3835"/>
    <m/>
    <m/>
    <m/>
    <m/>
    <x v="5"/>
    <m/>
    <m/>
    <m/>
    <m/>
    <x v="1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E6578-2CFD-4F31-80CB-806A5779FD2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22" firstHeaderRow="1" firstDataRow="1" firstDataCol="1"/>
  <pivotFields count="14">
    <pivotField showAll="0"/>
    <pivotField showAll="0"/>
    <pivotField showAll="0"/>
    <pivotField showAll="0"/>
    <pivotField showAll="0"/>
    <pivotField showAll="0">
      <items count="7">
        <item x="4"/>
        <item x="2"/>
        <item x="3"/>
        <item x="1"/>
        <item x="0"/>
        <item x="5"/>
        <item t="default"/>
      </items>
    </pivotField>
    <pivotField dataField="1" showAll="0"/>
    <pivotField showAll="0"/>
    <pivotField showAll="0"/>
    <pivotField showAll="0"/>
    <pivotField axis="axisRow" showAll="0">
      <items count="21">
        <item x="18"/>
        <item x="13"/>
        <item x="8"/>
        <item x="9"/>
        <item x="1"/>
        <item x="3"/>
        <item x="7"/>
        <item x="16"/>
        <item x="4"/>
        <item x="12"/>
        <item x="10"/>
        <item x="15"/>
        <item x="0"/>
        <item x="6"/>
        <item x="2"/>
        <item x="17"/>
        <item x="11"/>
        <item x="14"/>
        <item x="5"/>
        <item x="19"/>
        <item t="default"/>
      </items>
    </pivotField>
    <pivotField showAll="0"/>
    <pivotField showAll="0"/>
    <pivotField showAll="0"/>
  </pivotFields>
  <rowFields count="1">
    <field x="1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Units Sold" fld="6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8D4C-216C-4255-A963-E16F98A67266}">
  <dimension ref="A1:B22"/>
  <sheetViews>
    <sheetView workbookViewId="0"/>
  </sheetViews>
  <sheetFormatPr defaultRowHeight="14.25" x14ac:dyDescent="0.45"/>
  <cols>
    <col min="1" max="1" width="12.06640625" bestFit="1" customWidth="1"/>
    <col min="2" max="2" width="15.265625" bestFit="1" customWidth="1"/>
    <col min="3" max="3" width="18.06640625" bestFit="1" customWidth="1"/>
  </cols>
  <sheetData>
    <row r="1" spans="1:2" x14ac:dyDescent="0.45">
      <c r="A1" s="5" t="s">
        <v>1061</v>
      </c>
      <c r="B1" t="s">
        <v>1064</v>
      </c>
    </row>
    <row r="2" spans="1:2" x14ac:dyDescent="0.45">
      <c r="A2" s="6" t="s">
        <v>21</v>
      </c>
      <c r="B2" s="7">
        <v>651</v>
      </c>
    </row>
    <row r="3" spans="1:2" x14ac:dyDescent="0.45">
      <c r="A3" s="6" t="s">
        <v>1048</v>
      </c>
      <c r="B3" s="7">
        <v>634</v>
      </c>
    </row>
    <row r="4" spans="1:2" x14ac:dyDescent="0.45">
      <c r="A4" s="6" t="s">
        <v>18</v>
      </c>
      <c r="B4" s="7">
        <v>715</v>
      </c>
    </row>
    <row r="5" spans="1:2" x14ac:dyDescent="0.45">
      <c r="A5" s="6" t="s">
        <v>1055</v>
      </c>
      <c r="B5" s="7">
        <v>611</v>
      </c>
    </row>
    <row r="6" spans="1:2" x14ac:dyDescent="0.45">
      <c r="A6" s="6" t="s">
        <v>19</v>
      </c>
      <c r="B6" s="7">
        <v>5078</v>
      </c>
    </row>
    <row r="7" spans="1:2" x14ac:dyDescent="0.45">
      <c r="A7" s="6" t="s">
        <v>1052</v>
      </c>
      <c r="B7" s="7">
        <v>653</v>
      </c>
    </row>
    <row r="8" spans="1:2" x14ac:dyDescent="0.45">
      <c r="A8" s="6" t="s">
        <v>20</v>
      </c>
      <c r="B8" s="7">
        <v>636</v>
      </c>
    </row>
    <row r="9" spans="1:2" x14ac:dyDescent="0.45">
      <c r="A9" s="6" t="s">
        <v>1054</v>
      </c>
      <c r="B9" s="7">
        <v>655</v>
      </c>
    </row>
    <row r="10" spans="1:2" x14ac:dyDescent="0.45">
      <c r="A10" s="6" t="s">
        <v>1058</v>
      </c>
      <c r="B10" s="7">
        <v>677</v>
      </c>
    </row>
    <row r="11" spans="1:2" x14ac:dyDescent="0.45">
      <c r="A11" s="6" t="s">
        <v>1047</v>
      </c>
      <c r="B11" s="7">
        <v>589</v>
      </c>
    </row>
    <row r="12" spans="1:2" x14ac:dyDescent="0.45">
      <c r="A12" s="6" t="s">
        <v>1045</v>
      </c>
      <c r="B12" s="7">
        <v>597</v>
      </c>
    </row>
    <row r="13" spans="1:2" x14ac:dyDescent="0.45">
      <c r="A13" s="6" t="s">
        <v>1046</v>
      </c>
      <c r="B13" s="7">
        <v>673</v>
      </c>
    </row>
    <row r="14" spans="1:2" x14ac:dyDescent="0.45">
      <c r="A14" s="6" t="s">
        <v>1050</v>
      </c>
      <c r="B14" s="7">
        <v>608</v>
      </c>
    </row>
    <row r="15" spans="1:2" x14ac:dyDescent="0.45">
      <c r="A15" s="6" t="s">
        <v>1057</v>
      </c>
      <c r="B15" s="7">
        <v>633</v>
      </c>
    </row>
    <row r="16" spans="1:2" x14ac:dyDescent="0.45">
      <c r="A16" s="6" t="s">
        <v>17</v>
      </c>
      <c r="B16" s="7">
        <v>3207</v>
      </c>
    </row>
    <row r="17" spans="1:2" x14ac:dyDescent="0.45">
      <c r="A17" s="6" t="s">
        <v>1049</v>
      </c>
      <c r="B17" s="7">
        <v>555</v>
      </c>
    </row>
    <row r="18" spans="1:2" x14ac:dyDescent="0.45">
      <c r="A18" s="6" t="s">
        <v>1053</v>
      </c>
      <c r="B18" s="7">
        <v>643</v>
      </c>
    </row>
    <row r="19" spans="1:2" x14ac:dyDescent="0.45">
      <c r="A19" s="6" t="s">
        <v>1056</v>
      </c>
      <c r="B19" s="7">
        <v>761</v>
      </c>
    </row>
    <row r="20" spans="1:2" x14ac:dyDescent="0.45">
      <c r="A20" s="6" t="s">
        <v>1051</v>
      </c>
      <c r="B20" s="7">
        <v>574</v>
      </c>
    </row>
    <row r="21" spans="1:2" x14ac:dyDescent="0.45">
      <c r="A21" s="6" t="s">
        <v>1062</v>
      </c>
      <c r="B21" s="7"/>
    </row>
    <row r="22" spans="1:2" x14ac:dyDescent="0.45">
      <c r="A22" s="6" t="s">
        <v>1063</v>
      </c>
      <c r="B22" s="7">
        <v>19150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37"/>
  <sheetViews>
    <sheetView zoomScale="115" zoomScaleNormal="115" workbookViewId="0"/>
  </sheetViews>
  <sheetFormatPr defaultRowHeight="14.25" x14ac:dyDescent="0.45"/>
  <cols>
    <col min="1" max="1" width="12.265625" bestFit="1" customWidth="1"/>
    <col min="2" max="2" width="3.796875" style="1" bestFit="1" customWidth="1"/>
    <col min="3" max="3" width="6.19921875" style="1" bestFit="1" customWidth="1"/>
    <col min="4" max="4" width="4.73046875" style="1" bestFit="1" customWidth="1"/>
    <col min="5" max="5" width="11.86328125" style="1" customWidth="1"/>
    <col min="6" max="6" width="7.9296875" bestFit="1" customWidth="1"/>
    <col min="7" max="7" width="8.86328125" bestFit="1" customWidth="1"/>
    <col min="8" max="8" width="11.86328125" bestFit="1" customWidth="1"/>
    <col min="9" max="9" width="17.86328125" bestFit="1" customWidth="1"/>
    <col min="10" max="10" width="12.06640625" bestFit="1" customWidth="1"/>
    <col min="11" max="11" width="10.19921875" bestFit="1" customWidth="1"/>
    <col min="12" max="12" width="14.796875" bestFit="1" customWidth="1"/>
    <col min="13" max="13" width="14.86328125" bestFit="1" customWidth="1"/>
    <col min="14" max="14" width="12.9296875" bestFit="1" customWidth="1"/>
    <col min="16" max="17" width="9.9296875" bestFit="1" customWidth="1"/>
    <col min="18" max="19" width="15" bestFit="1" customWidth="1"/>
  </cols>
  <sheetData>
    <row r="1" spans="1:21" x14ac:dyDescent="0.4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  <c r="P1" s="2" t="s">
        <v>1065</v>
      </c>
      <c r="Q1" s="2" t="s">
        <v>1066</v>
      </c>
      <c r="R1" s="2" t="s">
        <v>1067</v>
      </c>
      <c r="S1" s="2" t="s">
        <v>1068</v>
      </c>
      <c r="T1" s="2" t="s">
        <v>1069</v>
      </c>
      <c r="U1" s="9" t="s">
        <v>1070</v>
      </c>
    </row>
    <row r="2" spans="1:21" x14ac:dyDescent="0.4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  <c r="P2" s="1" t="str">
        <f>B2&amp;"-"&amp;C2&amp;"-"&amp;D2</f>
        <v>9-10-2021</v>
      </c>
      <c r="Q2" s="1">
        <f ca="1">TODAY()</f>
        <v>45828</v>
      </c>
      <c r="R2" s="8">
        <f ca="1">NOW()</f>
        <v>45828.656575462963</v>
      </c>
      <c r="S2" s="8" t="str">
        <f ca="1">TEXT(TODAY(),"DD/MM/YYYY")</f>
        <v>20/06/2025</v>
      </c>
      <c r="T2" t="str">
        <f>IF(M1&gt;3,"YES","NO")</f>
        <v>YES</v>
      </c>
      <c r="U2" t="str" cm="1">
        <f t="array" ref="U2">_xlfn.IFS(M2&gt;3,"F",J2&gt;35,"T")</f>
        <v>F</v>
      </c>
    </row>
    <row r="3" spans="1:21" x14ac:dyDescent="0.4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  <c r="O3">
        <f>MAX(G2:G3836)</f>
        <v>9</v>
      </c>
      <c r="P3" s="1" t="str">
        <f t="shared" ref="P3:P66" si="0">B3&amp;"-"&amp;C3&amp;"-"&amp;D3</f>
        <v>9-10-2021</v>
      </c>
      <c r="Q3" s="1">
        <f t="shared" ref="Q3:Q15" ca="1" si="1">TODAY()</f>
        <v>45828</v>
      </c>
      <c r="R3" s="8">
        <f t="shared" ref="R3:R15" ca="1" si="2">NOW()</f>
        <v>45828.656575462963</v>
      </c>
      <c r="T3" t="str">
        <f t="shared" ref="T3:T33" si="3">IF(M2&gt;3,"YES","NO")</f>
        <v>YES</v>
      </c>
      <c r="U3" t="str" cm="1">
        <f t="array" ref="U3">_xlfn.IFS(M3&gt;3,"F",J3&gt;35,"T")</f>
        <v>T</v>
      </c>
    </row>
    <row r="4" spans="1:21" x14ac:dyDescent="0.4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  <c r="O4">
        <f>MIN(G2:G3836)</f>
        <v>1</v>
      </c>
      <c r="P4" s="1" t="str">
        <f t="shared" si="0"/>
        <v>9-10-2021</v>
      </c>
      <c r="Q4" s="1">
        <f t="shared" ca="1" si="1"/>
        <v>45828</v>
      </c>
      <c r="R4" s="8">
        <f t="shared" ca="1" si="2"/>
        <v>45828.656575462963</v>
      </c>
      <c r="T4" t="str">
        <f t="shared" si="3"/>
        <v>NO</v>
      </c>
      <c r="U4" t="str" cm="1">
        <f t="array" ref="U4">_xlfn.IFS(M4&gt;3,"F",J4&gt;35,"T")</f>
        <v>F</v>
      </c>
    </row>
    <row r="5" spans="1:21" x14ac:dyDescent="0.4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  <c r="O5">
        <f>AVERAGE(G2:G3836)</f>
        <v>4.9934810951760102</v>
      </c>
      <c r="P5" s="1" t="str">
        <f t="shared" si="0"/>
        <v>10-10-2021</v>
      </c>
      <c r="Q5" s="1">
        <f t="shared" ca="1" si="1"/>
        <v>45828</v>
      </c>
      <c r="R5" s="8">
        <f t="shared" ca="1" si="2"/>
        <v>45828.656575462963</v>
      </c>
      <c r="T5" t="str">
        <f t="shared" si="3"/>
        <v>YES</v>
      </c>
      <c r="U5" t="str" cm="1">
        <f t="array" ref="U5">_xlfn.IFS(M5&gt;3,"F",J5&gt;35,"T")</f>
        <v>F</v>
      </c>
    </row>
    <row r="6" spans="1:21" x14ac:dyDescent="0.4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  <c r="P6" s="1" t="str">
        <f t="shared" si="0"/>
        <v>10-10-2021</v>
      </c>
      <c r="Q6" s="1">
        <f t="shared" ca="1" si="1"/>
        <v>45828</v>
      </c>
      <c r="R6" s="8">
        <f t="shared" ca="1" si="2"/>
        <v>45828.656575462963</v>
      </c>
      <c r="T6" t="str">
        <f t="shared" si="3"/>
        <v>YES</v>
      </c>
      <c r="U6" t="str" cm="1">
        <f t="array" ref="U6">_xlfn.IFS(M6&gt;3,"F",J6&gt;35,"T")</f>
        <v>F</v>
      </c>
    </row>
    <row r="7" spans="1:21" x14ac:dyDescent="0.4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  <c r="P7" s="1" t="str">
        <f t="shared" si="0"/>
        <v>10-10-2021</v>
      </c>
      <c r="Q7" s="1">
        <f t="shared" ca="1" si="1"/>
        <v>45828</v>
      </c>
      <c r="R7" s="8">
        <f t="shared" ca="1" si="2"/>
        <v>45828.656575462963</v>
      </c>
      <c r="T7" t="str">
        <f t="shared" si="3"/>
        <v>YES</v>
      </c>
      <c r="U7" t="str" cm="1">
        <f t="array" ref="U7">_xlfn.IFS(M7&gt;3,"F",J7&gt;35,"T")</f>
        <v>T</v>
      </c>
    </row>
    <row r="8" spans="1:21" x14ac:dyDescent="0.4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  <c r="P8" s="1" t="str">
        <f t="shared" si="0"/>
        <v>10-10-2021</v>
      </c>
      <c r="Q8" s="1">
        <f t="shared" ca="1" si="1"/>
        <v>45828</v>
      </c>
      <c r="R8" s="8">
        <f t="shared" ca="1" si="2"/>
        <v>45828.656575462963</v>
      </c>
      <c r="T8" t="str">
        <f t="shared" si="3"/>
        <v>NO</v>
      </c>
    </row>
    <row r="9" spans="1:21" x14ac:dyDescent="0.4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  <c r="P9" s="1" t="str">
        <f t="shared" si="0"/>
        <v>11-10-2021</v>
      </c>
      <c r="Q9" s="1">
        <f t="shared" ca="1" si="1"/>
        <v>45828</v>
      </c>
      <c r="R9" s="8">
        <f t="shared" ca="1" si="2"/>
        <v>45828.656575462963</v>
      </c>
      <c r="T9" t="str">
        <f t="shared" si="3"/>
        <v>YES</v>
      </c>
    </row>
    <row r="10" spans="1:21" x14ac:dyDescent="0.4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  <c r="P10" s="1" t="str">
        <f t="shared" si="0"/>
        <v>11-10-2021</v>
      </c>
      <c r="Q10" s="1">
        <f t="shared" ca="1" si="1"/>
        <v>45828</v>
      </c>
      <c r="R10" s="8">
        <f t="shared" ca="1" si="2"/>
        <v>45828.656575462963</v>
      </c>
      <c r="T10" t="str">
        <f t="shared" si="3"/>
        <v>NO</v>
      </c>
    </row>
    <row r="11" spans="1:21" x14ac:dyDescent="0.4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  <c r="P11" s="1" t="str">
        <f t="shared" si="0"/>
        <v>11-10-2021</v>
      </c>
      <c r="Q11" s="1">
        <f t="shared" ca="1" si="1"/>
        <v>45828</v>
      </c>
      <c r="R11" s="8">
        <f t="shared" ca="1" si="2"/>
        <v>45828.656575462963</v>
      </c>
      <c r="T11" t="str">
        <f t="shared" si="3"/>
        <v>YES</v>
      </c>
    </row>
    <row r="12" spans="1:21" x14ac:dyDescent="0.4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  <c r="P12" s="1" t="str">
        <f t="shared" si="0"/>
        <v>12-10-2021</v>
      </c>
      <c r="Q12" s="1">
        <f t="shared" ca="1" si="1"/>
        <v>45828</v>
      </c>
      <c r="R12" s="8">
        <f t="shared" ca="1" si="2"/>
        <v>45828.656575462963</v>
      </c>
      <c r="T12" t="str">
        <f t="shared" si="3"/>
        <v>NO</v>
      </c>
    </row>
    <row r="13" spans="1:21" x14ac:dyDescent="0.4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  <c r="P13" s="1" t="str">
        <f t="shared" si="0"/>
        <v>12-10-2021</v>
      </c>
      <c r="Q13" s="1">
        <f t="shared" ca="1" si="1"/>
        <v>45828</v>
      </c>
      <c r="R13" s="8">
        <f t="shared" ca="1" si="2"/>
        <v>45828.656575462963</v>
      </c>
      <c r="T13" t="str">
        <f t="shared" si="3"/>
        <v>YES</v>
      </c>
    </row>
    <row r="14" spans="1:21" x14ac:dyDescent="0.4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  <c r="P14" s="1" t="str">
        <f t="shared" si="0"/>
        <v>12-10-2021</v>
      </c>
      <c r="Q14" s="1">
        <f t="shared" ca="1" si="1"/>
        <v>45828</v>
      </c>
      <c r="R14" s="8">
        <f t="shared" ca="1" si="2"/>
        <v>45828.656575462963</v>
      </c>
      <c r="T14" t="str">
        <f t="shared" si="3"/>
        <v>YES</v>
      </c>
    </row>
    <row r="15" spans="1:21" x14ac:dyDescent="0.4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  <c r="P15" s="1" t="str">
        <f t="shared" si="0"/>
        <v>13-10-2021</v>
      </c>
      <c r="Q15" s="1">
        <f t="shared" ca="1" si="1"/>
        <v>45828</v>
      </c>
      <c r="R15" s="8">
        <f t="shared" ca="1" si="2"/>
        <v>45828.656575462963</v>
      </c>
      <c r="T15" t="str">
        <f t="shared" si="3"/>
        <v>YES</v>
      </c>
    </row>
    <row r="16" spans="1:21" x14ac:dyDescent="0.4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  <c r="P16" s="1" t="str">
        <f t="shared" si="0"/>
        <v>13-10-2021</v>
      </c>
      <c r="T16" t="str">
        <f t="shared" si="3"/>
        <v>NO</v>
      </c>
    </row>
    <row r="17" spans="1:20" x14ac:dyDescent="0.4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  <c r="P17" s="1" t="str">
        <f t="shared" si="0"/>
        <v>13-10-2021</v>
      </c>
      <c r="T17" t="str">
        <f t="shared" si="3"/>
        <v>YES</v>
      </c>
    </row>
    <row r="18" spans="1:20" x14ac:dyDescent="0.4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17</v>
      </c>
      <c r="L18" t="s">
        <v>22</v>
      </c>
      <c r="M18">
        <v>4</v>
      </c>
      <c r="N18" t="s">
        <v>32</v>
      </c>
      <c r="P18" s="1" t="str">
        <f t="shared" si="0"/>
        <v>14-10-2021</v>
      </c>
      <c r="T18" t="str">
        <f t="shared" si="3"/>
        <v>NO</v>
      </c>
    </row>
    <row r="19" spans="1:20" x14ac:dyDescent="0.4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  <c r="P19" s="1" t="str">
        <f t="shared" si="0"/>
        <v>14-10-2021</v>
      </c>
      <c r="T19" t="str">
        <f t="shared" si="3"/>
        <v>YES</v>
      </c>
    </row>
    <row r="20" spans="1:20" x14ac:dyDescent="0.4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  <c r="P20" s="1" t="str">
        <f t="shared" si="0"/>
        <v>14-10-2021</v>
      </c>
      <c r="T20" t="str">
        <f t="shared" si="3"/>
        <v>NO</v>
      </c>
    </row>
    <row r="21" spans="1:20" x14ac:dyDescent="0.4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  <c r="P21" s="1" t="str">
        <f t="shared" si="0"/>
        <v>14-10-2021</v>
      </c>
      <c r="T21" t="str">
        <f t="shared" si="3"/>
        <v>YES</v>
      </c>
    </row>
    <row r="22" spans="1:20" x14ac:dyDescent="0.4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  <c r="P22" s="1" t="str">
        <f t="shared" si="0"/>
        <v>15-10-2021</v>
      </c>
      <c r="T22" t="str">
        <f t="shared" si="3"/>
        <v>YES</v>
      </c>
    </row>
    <row r="23" spans="1:20" x14ac:dyDescent="0.4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  <c r="P23" s="1" t="str">
        <f t="shared" si="0"/>
        <v>15-10-2021</v>
      </c>
      <c r="T23" t="str">
        <f t="shared" si="3"/>
        <v>YES</v>
      </c>
    </row>
    <row r="24" spans="1:20" x14ac:dyDescent="0.4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  <c r="P24" s="1" t="str">
        <f t="shared" si="0"/>
        <v>15-10-2021</v>
      </c>
      <c r="T24" t="str">
        <f t="shared" si="3"/>
        <v>YES</v>
      </c>
    </row>
    <row r="25" spans="1:20" x14ac:dyDescent="0.4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  <c r="P25" s="1" t="str">
        <f t="shared" si="0"/>
        <v>16-10-2021</v>
      </c>
      <c r="T25" t="str">
        <f t="shared" si="3"/>
        <v>YES</v>
      </c>
    </row>
    <row r="26" spans="1:20" x14ac:dyDescent="0.4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  <c r="P26" s="1" t="str">
        <f t="shared" si="0"/>
        <v>16-10-2021</v>
      </c>
      <c r="T26" t="str">
        <f t="shared" si="3"/>
        <v>YES</v>
      </c>
    </row>
    <row r="27" spans="1:20" x14ac:dyDescent="0.4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  <c r="P27" s="1" t="str">
        <f t="shared" si="0"/>
        <v>16-10-2021</v>
      </c>
      <c r="T27" t="str">
        <f t="shared" si="3"/>
        <v>NO</v>
      </c>
    </row>
    <row r="28" spans="1:20" x14ac:dyDescent="0.4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  <c r="P28" s="1" t="str">
        <f t="shared" si="0"/>
        <v>17-10-2021</v>
      </c>
      <c r="T28" t="str">
        <f t="shared" si="3"/>
        <v>YES</v>
      </c>
    </row>
    <row r="29" spans="1:20" x14ac:dyDescent="0.4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  <c r="P29" s="1" t="str">
        <f t="shared" si="0"/>
        <v>17-10-2021</v>
      </c>
      <c r="T29" t="str">
        <f t="shared" si="3"/>
        <v>YES</v>
      </c>
    </row>
    <row r="30" spans="1:20" x14ac:dyDescent="0.4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  <c r="P30" s="1" t="str">
        <f t="shared" si="0"/>
        <v>17-10-2021</v>
      </c>
      <c r="T30" t="str">
        <f t="shared" si="3"/>
        <v>YES</v>
      </c>
    </row>
    <row r="31" spans="1:20" x14ac:dyDescent="0.4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  <c r="P31" s="1" t="str">
        <f t="shared" si="0"/>
        <v>18-10-2021</v>
      </c>
      <c r="T31" t="str">
        <f t="shared" si="3"/>
        <v>YES</v>
      </c>
    </row>
    <row r="32" spans="1:20" x14ac:dyDescent="0.4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  <c r="P32" s="1" t="str">
        <f t="shared" si="0"/>
        <v>18-10-2021</v>
      </c>
      <c r="T32" t="str">
        <f t="shared" si="3"/>
        <v>YES</v>
      </c>
    </row>
    <row r="33" spans="1:20" x14ac:dyDescent="0.4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  <c r="P33" s="1" t="str">
        <f t="shared" si="0"/>
        <v>18-10-2021</v>
      </c>
      <c r="T33" t="str">
        <f t="shared" si="3"/>
        <v>NO</v>
      </c>
    </row>
    <row r="34" spans="1:20" x14ac:dyDescent="0.4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  <c r="P34" s="1" t="str">
        <f t="shared" si="0"/>
        <v>18-10-2021</v>
      </c>
    </row>
    <row r="35" spans="1:20" x14ac:dyDescent="0.4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  <c r="P35" s="1" t="str">
        <f t="shared" si="0"/>
        <v>19-10-2021</v>
      </c>
    </row>
    <row r="36" spans="1:20" x14ac:dyDescent="0.4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  <c r="P36" s="1" t="str">
        <f t="shared" si="0"/>
        <v>19-10-2021</v>
      </c>
    </row>
    <row r="37" spans="1:20" x14ac:dyDescent="0.4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  <c r="P37" s="1" t="str">
        <f t="shared" si="0"/>
        <v>19-10-2021</v>
      </c>
    </row>
    <row r="38" spans="1:20" x14ac:dyDescent="0.4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  <c r="P38" s="1" t="str">
        <f t="shared" si="0"/>
        <v>20-10-2021</v>
      </c>
    </row>
    <row r="39" spans="1:20" x14ac:dyDescent="0.4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  <c r="P39" s="1" t="str">
        <f t="shared" si="0"/>
        <v>20-10-2021</v>
      </c>
    </row>
    <row r="40" spans="1:20" x14ac:dyDescent="0.4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  <c r="P40" s="1" t="str">
        <f t="shared" si="0"/>
        <v>20-10-2021</v>
      </c>
    </row>
    <row r="41" spans="1:20" x14ac:dyDescent="0.4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  <c r="P41" s="1" t="str">
        <f t="shared" si="0"/>
        <v>21-10-2021</v>
      </c>
    </row>
    <row r="42" spans="1:20" x14ac:dyDescent="0.4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  <c r="P42" s="1" t="str">
        <f t="shared" si="0"/>
        <v>21-10-2021</v>
      </c>
    </row>
    <row r="43" spans="1:20" x14ac:dyDescent="0.4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  <c r="P43" s="1" t="str">
        <f t="shared" si="0"/>
        <v>21-10-2021</v>
      </c>
    </row>
    <row r="44" spans="1:20" x14ac:dyDescent="0.4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  <c r="P44" s="1" t="str">
        <f t="shared" si="0"/>
        <v>22-10-2021</v>
      </c>
    </row>
    <row r="45" spans="1:20" x14ac:dyDescent="0.4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  <c r="P45" s="1" t="str">
        <f t="shared" si="0"/>
        <v>22-10-2021</v>
      </c>
    </row>
    <row r="46" spans="1:20" x14ac:dyDescent="0.4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  <c r="P46" s="1" t="str">
        <f t="shared" si="0"/>
        <v>22-10-2021</v>
      </c>
    </row>
    <row r="47" spans="1:20" x14ac:dyDescent="0.4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  <c r="P47" s="1" t="str">
        <f t="shared" si="0"/>
        <v>23-10-2021</v>
      </c>
    </row>
    <row r="48" spans="1:20" x14ac:dyDescent="0.4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  <c r="P48" s="1" t="str">
        <f t="shared" si="0"/>
        <v>23-10-2021</v>
      </c>
    </row>
    <row r="49" spans="1:16" x14ac:dyDescent="0.4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  <c r="P49" s="1" t="str">
        <f t="shared" si="0"/>
        <v>23-10-2021</v>
      </c>
    </row>
    <row r="50" spans="1:16" x14ac:dyDescent="0.4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  <c r="P50" s="1" t="str">
        <f t="shared" si="0"/>
        <v>23-10-2021</v>
      </c>
    </row>
    <row r="51" spans="1:16" x14ac:dyDescent="0.4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  <c r="P51" s="1" t="str">
        <f t="shared" si="0"/>
        <v>24-10-2021</v>
      </c>
    </row>
    <row r="52" spans="1:16" x14ac:dyDescent="0.4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  <c r="P52" s="1" t="str">
        <f t="shared" si="0"/>
        <v>24-10-2021</v>
      </c>
    </row>
    <row r="53" spans="1:16" x14ac:dyDescent="0.4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  <c r="P53" s="1" t="str">
        <f t="shared" si="0"/>
        <v>24-10-2021</v>
      </c>
    </row>
    <row r="54" spans="1:16" x14ac:dyDescent="0.4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  <c r="P54" s="1" t="str">
        <f t="shared" si="0"/>
        <v>25-10-2021</v>
      </c>
    </row>
    <row r="55" spans="1:16" x14ac:dyDescent="0.4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  <c r="P55" s="1" t="str">
        <f t="shared" si="0"/>
        <v>25-10-2021</v>
      </c>
    </row>
    <row r="56" spans="1:16" x14ac:dyDescent="0.4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  <c r="P56" s="1" t="str">
        <f t="shared" si="0"/>
        <v>25-10-2021</v>
      </c>
    </row>
    <row r="57" spans="1:16" x14ac:dyDescent="0.4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  <c r="P57" s="1" t="str">
        <f t="shared" si="0"/>
        <v>25-10-2021</v>
      </c>
    </row>
    <row r="58" spans="1:16" x14ac:dyDescent="0.4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  <c r="P58" s="1" t="str">
        <f t="shared" si="0"/>
        <v>26-10-2021</v>
      </c>
    </row>
    <row r="59" spans="1:16" x14ac:dyDescent="0.4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  <c r="P59" s="1" t="str">
        <f t="shared" si="0"/>
        <v>26-10-2021</v>
      </c>
    </row>
    <row r="60" spans="1:16" x14ac:dyDescent="0.4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  <c r="P60" s="1" t="str">
        <f t="shared" si="0"/>
        <v>26-10-2021</v>
      </c>
    </row>
    <row r="61" spans="1:16" x14ac:dyDescent="0.4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  <c r="P61" s="1" t="str">
        <f t="shared" si="0"/>
        <v>26-10-2021</v>
      </c>
    </row>
    <row r="62" spans="1:16" x14ac:dyDescent="0.4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  <c r="P62" s="1" t="str">
        <f t="shared" si="0"/>
        <v>27-10-2021</v>
      </c>
    </row>
    <row r="63" spans="1:16" x14ac:dyDescent="0.4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  <c r="P63" s="1" t="str">
        <f t="shared" si="0"/>
        <v>27-10-2021</v>
      </c>
    </row>
    <row r="64" spans="1:16" x14ac:dyDescent="0.4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  <c r="P64" s="1" t="str">
        <f t="shared" si="0"/>
        <v>27-10-2021</v>
      </c>
    </row>
    <row r="65" spans="1:16" x14ac:dyDescent="0.4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  <c r="P65" s="1" t="str">
        <f t="shared" si="0"/>
        <v>27-10-2021</v>
      </c>
    </row>
    <row r="66" spans="1:16" x14ac:dyDescent="0.4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  <c r="P66" s="1" t="str">
        <f t="shared" si="0"/>
        <v>28-10-2021</v>
      </c>
    </row>
    <row r="67" spans="1:16" x14ac:dyDescent="0.4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  <c r="P67" s="1" t="str">
        <f t="shared" ref="P67:P130" si="4">B67&amp;"-"&amp;C67&amp;"-"&amp;D67</f>
        <v>28-10-2021</v>
      </c>
    </row>
    <row r="68" spans="1:16" x14ac:dyDescent="0.4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  <c r="P68" s="1" t="str">
        <f t="shared" si="4"/>
        <v>28-10-2021</v>
      </c>
    </row>
    <row r="69" spans="1:16" x14ac:dyDescent="0.4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  <c r="P69" s="1" t="str">
        <f t="shared" si="4"/>
        <v>29-10-2021</v>
      </c>
    </row>
    <row r="70" spans="1:16" x14ac:dyDescent="0.4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  <c r="P70" s="1" t="str">
        <f t="shared" si="4"/>
        <v>29-10-2021</v>
      </c>
    </row>
    <row r="71" spans="1:16" x14ac:dyDescent="0.4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  <c r="P71" s="1" t="str">
        <f t="shared" si="4"/>
        <v>29-10-2021</v>
      </c>
    </row>
    <row r="72" spans="1:16" x14ac:dyDescent="0.4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  <c r="P72" s="1" t="str">
        <f t="shared" si="4"/>
        <v>29-10-2021</v>
      </c>
    </row>
    <row r="73" spans="1:16" x14ac:dyDescent="0.4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  <c r="P73" s="1" t="str">
        <f t="shared" si="4"/>
        <v>30-10-2021</v>
      </c>
    </row>
    <row r="74" spans="1:16" x14ac:dyDescent="0.4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  <c r="P74" s="1" t="str">
        <f t="shared" si="4"/>
        <v>30-10-2021</v>
      </c>
    </row>
    <row r="75" spans="1:16" x14ac:dyDescent="0.4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  <c r="P75" s="1" t="str">
        <f t="shared" si="4"/>
        <v>30-10-2021</v>
      </c>
    </row>
    <row r="76" spans="1:16" x14ac:dyDescent="0.4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  <c r="P76" s="1" t="str">
        <f t="shared" si="4"/>
        <v>31-10-2021</v>
      </c>
    </row>
    <row r="77" spans="1:16" x14ac:dyDescent="0.4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  <c r="P77" s="1" t="str">
        <f t="shared" si="4"/>
        <v>31-10-2021</v>
      </c>
    </row>
    <row r="78" spans="1:16" x14ac:dyDescent="0.4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  <c r="P78" s="1" t="str">
        <f t="shared" si="4"/>
        <v>31-10-2021</v>
      </c>
    </row>
    <row r="79" spans="1:16" x14ac:dyDescent="0.4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  <c r="P79" s="1" t="str">
        <f t="shared" si="4"/>
        <v>31-10-2021</v>
      </c>
    </row>
    <row r="80" spans="1:16" x14ac:dyDescent="0.4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  <c r="P80" s="1" t="str">
        <f t="shared" si="4"/>
        <v>1-11-2021</v>
      </c>
    </row>
    <row r="81" spans="1:16" x14ac:dyDescent="0.4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  <c r="P81" s="1" t="str">
        <f t="shared" si="4"/>
        <v>1-11-2021</v>
      </c>
    </row>
    <row r="82" spans="1:16" x14ac:dyDescent="0.4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  <c r="P82" s="1" t="str">
        <f t="shared" si="4"/>
        <v>1-11-2021</v>
      </c>
    </row>
    <row r="83" spans="1:16" x14ac:dyDescent="0.4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  <c r="P83" s="1" t="str">
        <f t="shared" si="4"/>
        <v>1-11-2021</v>
      </c>
    </row>
    <row r="84" spans="1:16" x14ac:dyDescent="0.4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  <c r="P84" s="1" t="str">
        <f t="shared" si="4"/>
        <v>2-11-2021</v>
      </c>
    </row>
    <row r="85" spans="1:16" x14ac:dyDescent="0.4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  <c r="P85" s="1" t="str">
        <f t="shared" si="4"/>
        <v>2-11-2021</v>
      </c>
    </row>
    <row r="86" spans="1:16" x14ac:dyDescent="0.4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  <c r="P86" s="1" t="str">
        <f t="shared" si="4"/>
        <v>2-11-2021</v>
      </c>
    </row>
    <row r="87" spans="1:16" x14ac:dyDescent="0.4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  <c r="P87" s="1" t="str">
        <f t="shared" si="4"/>
        <v>2-11-2021</v>
      </c>
    </row>
    <row r="88" spans="1:16" x14ac:dyDescent="0.4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  <c r="P88" s="1" t="str">
        <f t="shared" si="4"/>
        <v>3-11-2021</v>
      </c>
    </row>
    <row r="89" spans="1:16" x14ac:dyDescent="0.4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  <c r="P89" s="1" t="str">
        <f t="shared" si="4"/>
        <v>3-11-2021</v>
      </c>
    </row>
    <row r="90" spans="1:16" x14ac:dyDescent="0.4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  <c r="P90" s="1" t="str">
        <f t="shared" si="4"/>
        <v>3-11-2021</v>
      </c>
    </row>
    <row r="91" spans="1:16" x14ac:dyDescent="0.4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  <c r="P91" s="1" t="str">
        <f t="shared" si="4"/>
        <v>3-11-2021</v>
      </c>
    </row>
    <row r="92" spans="1:16" x14ac:dyDescent="0.4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  <c r="P92" s="1" t="str">
        <f t="shared" si="4"/>
        <v>4-11-2021</v>
      </c>
    </row>
    <row r="93" spans="1:16" x14ac:dyDescent="0.4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  <c r="P93" s="1" t="str">
        <f t="shared" si="4"/>
        <v>4-11-2021</v>
      </c>
    </row>
    <row r="94" spans="1:16" x14ac:dyDescent="0.4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  <c r="P94" s="1" t="str">
        <f t="shared" si="4"/>
        <v>4-11-2021</v>
      </c>
    </row>
    <row r="95" spans="1:16" x14ac:dyDescent="0.4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  <c r="P95" s="1" t="str">
        <f t="shared" si="4"/>
        <v>4-11-2021</v>
      </c>
    </row>
    <row r="96" spans="1:16" x14ac:dyDescent="0.4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  <c r="P96" s="1" t="str">
        <f t="shared" si="4"/>
        <v>5-11-2021</v>
      </c>
    </row>
    <row r="97" spans="1:16" x14ac:dyDescent="0.4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  <c r="P97" s="1" t="str">
        <f t="shared" si="4"/>
        <v>5-11-2021</v>
      </c>
    </row>
    <row r="98" spans="1:16" x14ac:dyDescent="0.4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  <c r="P98" s="1" t="str">
        <f t="shared" si="4"/>
        <v>5-11-2021</v>
      </c>
    </row>
    <row r="99" spans="1:16" x14ac:dyDescent="0.4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  <c r="P99" s="1" t="str">
        <f t="shared" si="4"/>
        <v>5-11-2021</v>
      </c>
    </row>
    <row r="100" spans="1:16" x14ac:dyDescent="0.4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  <c r="P100" s="1" t="str">
        <f t="shared" si="4"/>
        <v>6-11-2021</v>
      </c>
    </row>
    <row r="101" spans="1:16" x14ac:dyDescent="0.4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  <c r="P101" s="1" t="str">
        <f t="shared" si="4"/>
        <v>6-11-2021</v>
      </c>
    </row>
    <row r="102" spans="1:16" x14ac:dyDescent="0.4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  <c r="P102" s="1" t="str">
        <f t="shared" si="4"/>
        <v>6-11-2021</v>
      </c>
    </row>
    <row r="103" spans="1:16" x14ac:dyDescent="0.4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  <c r="P103" s="1" t="str">
        <f t="shared" si="4"/>
        <v>6-11-2021</v>
      </c>
    </row>
    <row r="104" spans="1:16" x14ac:dyDescent="0.4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  <c r="P104" s="1" t="str">
        <f t="shared" si="4"/>
        <v>7-11-2021</v>
      </c>
    </row>
    <row r="105" spans="1:16" x14ac:dyDescent="0.4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  <c r="P105" s="1" t="str">
        <f t="shared" si="4"/>
        <v>7-11-2021</v>
      </c>
    </row>
    <row r="106" spans="1:16" x14ac:dyDescent="0.4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  <c r="P106" s="1" t="str">
        <f t="shared" si="4"/>
        <v>7-11-2021</v>
      </c>
    </row>
    <row r="107" spans="1:16" x14ac:dyDescent="0.4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  <c r="P107" s="1" t="str">
        <f t="shared" si="4"/>
        <v>7-11-2021</v>
      </c>
    </row>
    <row r="108" spans="1:16" x14ac:dyDescent="0.4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  <c r="P108" s="1" t="str">
        <f t="shared" si="4"/>
        <v>8-11-2021</v>
      </c>
    </row>
    <row r="109" spans="1:16" x14ac:dyDescent="0.4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  <c r="P109" s="1" t="str">
        <f t="shared" si="4"/>
        <v>8-11-2021</v>
      </c>
    </row>
    <row r="110" spans="1:16" x14ac:dyDescent="0.4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  <c r="P110" s="1" t="str">
        <f t="shared" si="4"/>
        <v>8-11-2021</v>
      </c>
    </row>
    <row r="111" spans="1:16" x14ac:dyDescent="0.4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  <c r="P111" s="1" t="str">
        <f t="shared" si="4"/>
        <v>9-11-2021</v>
      </c>
    </row>
    <row r="112" spans="1:16" x14ac:dyDescent="0.4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  <c r="P112" s="1" t="str">
        <f t="shared" si="4"/>
        <v>9-11-2021</v>
      </c>
    </row>
    <row r="113" spans="1:16" x14ac:dyDescent="0.4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  <c r="P113" s="1" t="str">
        <f t="shared" si="4"/>
        <v>9-11-2021</v>
      </c>
    </row>
    <row r="114" spans="1:16" x14ac:dyDescent="0.4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  <c r="P114" s="1" t="str">
        <f t="shared" si="4"/>
        <v>10-11-2021</v>
      </c>
    </row>
    <row r="115" spans="1:16" x14ac:dyDescent="0.4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  <c r="P115" s="1" t="str">
        <f t="shared" si="4"/>
        <v>10-11-2021</v>
      </c>
    </row>
    <row r="116" spans="1:16" x14ac:dyDescent="0.4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  <c r="P116" s="1" t="str">
        <f t="shared" si="4"/>
        <v>10-11-2021</v>
      </c>
    </row>
    <row r="117" spans="1:16" x14ac:dyDescent="0.4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  <c r="P117" s="1" t="str">
        <f t="shared" si="4"/>
        <v>10-11-2021</v>
      </c>
    </row>
    <row r="118" spans="1:16" x14ac:dyDescent="0.4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  <c r="P118" s="1" t="str">
        <f t="shared" si="4"/>
        <v>11-11-2021</v>
      </c>
    </row>
    <row r="119" spans="1:16" x14ac:dyDescent="0.4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  <c r="P119" s="1" t="str">
        <f t="shared" si="4"/>
        <v>11-11-2021</v>
      </c>
    </row>
    <row r="120" spans="1:16" x14ac:dyDescent="0.4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  <c r="P120" s="1" t="str">
        <f t="shared" si="4"/>
        <v>11-11-2021</v>
      </c>
    </row>
    <row r="121" spans="1:16" x14ac:dyDescent="0.4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  <c r="P121" s="1" t="str">
        <f t="shared" si="4"/>
        <v>11-11-2021</v>
      </c>
    </row>
    <row r="122" spans="1:16" x14ac:dyDescent="0.4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  <c r="P122" s="1" t="str">
        <f t="shared" si="4"/>
        <v>12-11-2021</v>
      </c>
    </row>
    <row r="123" spans="1:16" x14ac:dyDescent="0.4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  <c r="P123" s="1" t="str">
        <f t="shared" si="4"/>
        <v>12-11-2021</v>
      </c>
    </row>
    <row r="124" spans="1:16" x14ac:dyDescent="0.4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  <c r="P124" s="1" t="str">
        <f t="shared" si="4"/>
        <v>12-11-2021</v>
      </c>
    </row>
    <row r="125" spans="1:16" x14ac:dyDescent="0.4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  <c r="P125" s="1" t="str">
        <f t="shared" si="4"/>
        <v>12-11-2021</v>
      </c>
    </row>
    <row r="126" spans="1:16" x14ac:dyDescent="0.4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  <c r="P126" s="1" t="str">
        <f t="shared" si="4"/>
        <v>13-11-2021</v>
      </c>
    </row>
    <row r="127" spans="1:16" x14ac:dyDescent="0.4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  <c r="P127" s="1" t="str">
        <f t="shared" si="4"/>
        <v>13-11-2021</v>
      </c>
    </row>
    <row r="128" spans="1:16" x14ac:dyDescent="0.4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  <c r="P128" s="1" t="str">
        <f t="shared" si="4"/>
        <v>13-11-2021</v>
      </c>
    </row>
    <row r="129" spans="1:16" x14ac:dyDescent="0.4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  <c r="P129" s="1" t="str">
        <f t="shared" si="4"/>
        <v>14-11-2021</v>
      </c>
    </row>
    <row r="130" spans="1:16" x14ac:dyDescent="0.4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  <c r="P130" s="1" t="str">
        <f t="shared" si="4"/>
        <v>14-11-2021</v>
      </c>
    </row>
    <row r="131" spans="1:16" x14ac:dyDescent="0.4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  <c r="P131" s="1" t="str">
        <f t="shared" ref="P131:P194" si="5">B131&amp;"-"&amp;C131&amp;"-"&amp;D131</f>
        <v>14-11-2021</v>
      </c>
    </row>
    <row r="132" spans="1:16" x14ac:dyDescent="0.4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  <c r="P132" s="1" t="str">
        <f t="shared" si="5"/>
        <v>14-11-2021</v>
      </c>
    </row>
    <row r="133" spans="1:16" x14ac:dyDescent="0.4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  <c r="P133" s="1" t="str">
        <f t="shared" si="5"/>
        <v>15-11-2021</v>
      </c>
    </row>
    <row r="134" spans="1:16" x14ac:dyDescent="0.4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  <c r="P134" s="1" t="str">
        <f t="shared" si="5"/>
        <v>15-11-2021</v>
      </c>
    </row>
    <row r="135" spans="1:16" x14ac:dyDescent="0.4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  <c r="P135" s="1" t="str">
        <f t="shared" si="5"/>
        <v>15-11-2021</v>
      </c>
    </row>
    <row r="136" spans="1:16" x14ac:dyDescent="0.4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  <c r="P136" s="1" t="str">
        <f t="shared" si="5"/>
        <v>16-11-2021</v>
      </c>
    </row>
    <row r="137" spans="1:16" x14ac:dyDescent="0.4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  <c r="P137" s="1" t="str">
        <f t="shared" si="5"/>
        <v>16-11-2021</v>
      </c>
    </row>
    <row r="138" spans="1:16" x14ac:dyDescent="0.4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  <c r="P138" s="1" t="str">
        <f t="shared" si="5"/>
        <v>16-11-2021</v>
      </c>
    </row>
    <row r="139" spans="1:16" x14ac:dyDescent="0.4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  <c r="P139" s="1" t="str">
        <f t="shared" si="5"/>
        <v>17-11-2021</v>
      </c>
    </row>
    <row r="140" spans="1:16" x14ac:dyDescent="0.4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  <c r="P140" s="1" t="str">
        <f t="shared" si="5"/>
        <v>17-11-2021</v>
      </c>
    </row>
    <row r="141" spans="1:16" x14ac:dyDescent="0.4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  <c r="P141" s="1" t="str">
        <f t="shared" si="5"/>
        <v>17-11-2021</v>
      </c>
    </row>
    <row r="142" spans="1:16" x14ac:dyDescent="0.4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  <c r="P142" s="1" t="str">
        <f t="shared" si="5"/>
        <v>18-11-2021</v>
      </c>
    </row>
    <row r="143" spans="1:16" x14ac:dyDescent="0.4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  <c r="P143" s="1" t="str">
        <f t="shared" si="5"/>
        <v>18-11-2021</v>
      </c>
    </row>
    <row r="144" spans="1:16" x14ac:dyDescent="0.4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  <c r="P144" s="1" t="str">
        <f t="shared" si="5"/>
        <v>18-11-2021</v>
      </c>
    </row>
    <row r="145" spans="1:16" x14ac:dyDescent="0.4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  <c r="P145" s="1" t="str">
        <f t="shared" si="5"/>
        <v>19-11-2021</v>
      </c>
    </row>
    <row r="146" spans="1:16" x14ac:dyDescent="0.4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  <c r="P146" s="1" t="str">
        <f t="shared" si="5"/>
        <v>19-11-2021</v>
      </c>
    </row>
    <row r="147" spans="1:16" x14ac:dyDescent="0.4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  <c r="P147" s="1" t="str">
        <f t="shared" si="5"/>
        <v>19-11-2021</v>
      </c>
    </row>
    <row r="148" spans="1:16" x14ac:dyDescent="0.4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  <c r="P148" s="1" t="str">
        <f t="shared" si="5"/>
        <v>20-11-2021</v>
      </c>
    </row>
    <row r="149" spans="1:16" x14ac:dyDescent="0.4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  <c r="P149" s="1" t="str">
        <f t="shared" si="5"/>
        <v>20-11-2021</v>
      </c>
    </row>
    <row r="150" spans="1:16" x14ac:dyDescent="0.4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  <c r="P150" s="1" t="str">
        <f t="shared" si="5"/>
        <v>20-11-2021</v>
      </c>
    </row>
    <row r="151" spans="1:16" x14ac:dyDescent="0.4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  <c r="P151" s="1" t="str">
        <f t="shared" si="5"/>
        <v>20-11-2021</v>
      </c>
    </row>
    <row r="152" spans="1:16" x14ac:dyDescent="0.4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  <c r="P152" s="1" t="str">
        <f t="shared" si="5"/>
        <v>21-11-2021</v>
      </c>
    </row>
    <row r="153" spans="1:16" x14ac:dyDescent="0.4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  <c r="P153" s="1" t="str">
        <f t="shared" si="5"/>
        <v>21-11-2021</v>
      </c>
    </row>
    <row r="154" spans="1:16" x14ac:dyDescent="0.4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  <c r="P154" s="1" t="str">
        <f t="shared" si="5"/>
        <v>21-11-2021</v>
      </c>
    </row>
    <row r="155" spans="1:16" x14ac:dyDescent="0.4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  <c r="P155" s="1" t="str">
        <f t="shared" si="5"/>
        <v>21-11-2021</v>
      </c>
    </row>
    <row r="156" spans="1:16" x14ac:dyDescent="0.4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  <c r="P156" s="1" t="str">
        <f t="shared" si="5"/>
        <v>22-11-2021</v>
      </c>
    </row>
    <row r="157" spans="1:16" x14ac:dyDescent="0.4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  <c r="P157" s="1" t="str">
        <f t="shared" si="5"/>
        <v>22-11-2021</v>
      </c>
    </row>
    <row r="158" spans="1:16" x14ac:dyDescent="0.4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  <c r="P158" s="1" t="str">
        <f t="shared" si="5"/>
        <v>22-11-2021</v>
      </c>
    </row>
    <row r="159" spans="1:16" x14ac:dyDescent="0.4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  <c r="P159" s="1" t="str">
        <f t="shared" si="5"/>
        <v>22-11-2021</v>
      </c>
    </row>
    <row r="160" spans="1:16" x14ac:dyDescent="0.4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  <c r="P160" s="1" t="str">
        <f t="shared" si="5"/>
        <v>23-11-2021</v>
      </c>
    </row>
    <row r="161" spans="1:16" x14ac:dyDescent="0.4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  <c r="P161" s="1" t="str">
        <f t="shared" si="5"/>
        <v>23-11-2021</v>
      </c>
    </row>
    <row r="162" spans="1:16" x14ac:dyDescent="0.4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  <c r="P162" s="1" t="str">
        <f t="shared" si="5"/>
        <v>23-11-2021</v>
      </c>
    </row>
    <row r="163" spans="1:16" x14ac:dyDescent="0.4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  <c r="P163" s="1" t="str">
        <f t="shared" si="5"/>
        <v>23-11-2021</v>
      </c>
    </row>
    <row r="164" spans="1:16" x14ac:dyDescent="0.4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  <c r="P164" s="1" t="str">
        <f t="shared" si="5"/>
        <v>24-11-2021</v>
      </c>
    </row>
    <row r="165" spans="1:16" x14ac:dyDescent="0.4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  <c r="P165" s="1" t="str">
        <f t="shared" si="5"/>
        <v>24-11-2021</v>
      </c>
    </row>
    <row r="166" spans="1:16" x14ac:dyDescent="0.4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  <c r="P166" s="1" t="str">
        <f t="shared" si="5"/>
        <v>24-11-2021</v>
      </c>
    </row>
    <row r="167" spans="1:16" x14ac:dyDescent="0.4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  <c r="P167" s="1" t="str">
        <f t="shared" si="5"/>
        <v>24-11-2021</v>
      </c>
    </row>
    <row r="168" spans="1:16" x14ac:dyDescent="0.4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  <c r="P168" s="1" t="str">
        <f t="shared" si="5"/>
        <v>25-11-2021</v>
      </c>
    </row>
    <row r="169" spans="1:16" x14ac:dyDescent="0.4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  <c r="P169" s="1" t="str">
        <f t="shared" si="5"/>
        <v>25-11-2021</v>
      </c>
    </row>
    <row r="170" spans="1:16" x14ac:dyDescent="0.4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  <c r="P170" s="1" t="str">
        <f t="shared" si="5"/>
        <v>25-11-2021</v>
      </c>
    </row>
    <row r="171" spans="1:16" x14ac:dyDescent="0.4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  <c r="P171" s="1" t="str">
        <f t="shared" si="5"/>
        <v>26-11-2021</v>
      </c>
    </row>
    <row r="172" spans="1:16" x14ac:dyDescent="0.4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  <c r="P172" s="1" t="str">
        <f t="shared" si="5"/>
        <v>26-11-2021</v>
      </c>
    </row>
    <row r="173" spans="1:16" x14ac:dyDescent="0.4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  <c r="P173" s="1" t="str">
        <f t="shared" si="5"/>
        <v>26-11-2021</v>
      </c>
    </row>
    <row r="174" spans="1:16" x14ac:dyDescent="0.4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  <c r="P174" s="1" t="str">
        <f t="shared" si="5"/>
        <v>26-11-2021</v>
      </c>
    </row>
    <row r="175" spans="1:16" x14ac:dyDescent="0.4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  <c r="P175" s="1" t="str">
        <f t="shared" si="5"/>
        <v>27-11-2021</v>
      </c>
    </row>
    <row r="176" spans="1:16" x14ac:dyDescent="0.4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  <c r="P176" s="1" t="str">
        <f t="shared" si="5"/>
        <v>27-11-2021</v>
      </c>
    </row>
    <row r="177" spans="1:16" x14ac:dyDescent="0.4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  <c r="P177" s="1" t="str">
        <f t="shared" si="5"/>
        <v>27-11-2021</v>
      </c>
    </row>
    <row r="178" spans="1:16" x14ac:dyDescent="0.4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  <c r="P178" s="1" t="str">
        <f t="shared" si="5"/>
        <v>27-11-2021</v>
      </c>
    </row>
    <row r="179" spans="1:16" x14ac:dyDescent="0.4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  <c r="P179" s="1" t="str">
        <f t="shared" si="5"/>
        <v>28-11-2021</v>
      </c>
    </row>
    <row r="180" spans="1:16" x14ac:dyDescent="0.4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  <c r="P180" s="1" t="str">
        <f t="shared" si="5"/>
        <v>28-11-2021</v>
      </c>
    </row>
    <row r="181" spans="1:16" x14ac:dyDescent="0.4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  <c r="P181" s="1" t="str">
        <f t="shared" si="5"/>
        <v>28-11-2021</v>
      </c>
    </row>
    <row r="182" spans="1:16" x14ac:dyDescent="0.4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  <c r="P182" s="1" t="str">
        <f t="shared" si="5"/>
        <v>29-11-2021</v>
      </c>
    </row>
    <row r="183" spans="1:16" x14ac:dyDescent="0.4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  <c r="P183" s="1" t="str">
        <f t="shared" si="5"/>
        <v>29-11-2021</v>
      </c>
    </row>
    <row r="184" spans="1:16" x14ac:dyDescent="0.4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  <c r="P184" s="1" t="str">
        <f t="shared" si="5"/>
        <v>29-11-2021</v>
      </c>
    </row>
    <row r="185" spans="1:16" x14ac:dyDescent="0.4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  <c r="P185" s="1" t="str">
        <f t="shared" si="5"/>
        <v>29-11-2021</v>
      </c>
    </row>
    <row r="186" spans="1:16" x14ac:dyDescent="0.4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  <c r="P186" s="1" t="str">
        <f t="shared" si="5"/>
        <v>30-11-2021</v>
      </c>
    </row>
    <row r="187" spans="1:16" x14ac:dyDescent="0.4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  <c r="P187" s="1" t="str">
        <f t="shared" si="5"/>
        <v>30-11-2021</v>
      </c>
    </row>
    <row r="188" spans="1:16" x14ac:dyDescent="0.4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  <c r="P188" s="1" t="str">
        <f t="shared" si="5"/>
        <v>30-11-2021</v>
      </c>
    </row>
    <row r="189" spans="1:16" x14ac:dyDescent="0.4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  <c r="P189" s="1" t="str">
        <f t="shared" si="5"/>
        <v>1-12-2021</v>
      </c>
    </row>
    <row r="190" spans="1:16" x14ac:dyDescent="0.4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  <c r="P190" s="1" t="str">
        <f t="shared" si="5"/>
        <v>1-12-2021</v>
      </c>
    </row>
    <row r="191" spans="1:16" x14ac:dyDescent="0.4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  <c r="P191" s="1" t="str">
        <f t="shared" si="5"/>
        <v>1-12-2021</v>
      </c>
    </row>
    <row r="192" spans="1:16" x14ac:dyDescent="0.4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  <c r="P192" s="1" t="str">
        <f t="shared" si="5"/>
        <v>1-12-2021</v>
      </c>
    </row>
    <row r="193" spans="1:16" x14ac:dyDescent="0.4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  <c r="P193" s="1" t="str">
        <f t="shared" si="5"/>
        <v>2-12-2021</v>
      </c>
    </row>
    <row r="194" spans="1:16" x14ac:dyDescent="0.4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  <c r="P194" s="1" t="str">
        <f t="shared" si="5"/>
        <v>2-12-2021</v>
      </c>
    </row>
    <row r="195" spans="1:16" x14ac:dyDescent="0.4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  <c r="P195" s="1" t="str">
        <f t="shared" ref="P195:P258" si="6">B195&amp;"-"&amp;C195&amp;"-"&amp;D195</f>
        <v>2-12-2021</v>
      </c>
    </row>
    <row r="196" spans="1:16" x14ac:dyDescent="0.4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  <c r="P196" s="1" t="str">
        <f t="shared" si="6"/>
        <v>3-12-2021</v>
      </c>
    </row>
    <row r="197" spans="1:16" x14ac:dyDescent="0.4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  <c r="P197" s="1" t="str">
        <f t="shared" si="6"/>
        <v>3-12-2021</v>
      </c>
    </row>
    <row r="198" spans="1:16" x14ac:dyDescent="0.4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  <c r="P198" s="1" t="str">
        <f t="shared" si="6"/>
        <v>3-12-2021</v>
      </c>
    </row>
    <row r="199" spans="1:16" x14ac:dyDescent="0.4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  <c r="P199" s="1" t="str">
        <f t="shared" si="6"/>
        <v>3-12-2021</v>
      </c>
    </row>
    <row r="200" spans="1:16" x14ac:dyDescent="0.4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  <c r="P200" s="1" t="str">
        <f t="shared" si="6"/>
        <v>4-12-2021</v>
      </c>
    </row>
    <row r="201" spans="1:16" x14ac:dyDescent="0.4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  <c r="P201" s="1" t="str">
        <f t="shared" si="6"/>
        <v>4-12-2021</v>
      </c>
    </row>
    <row r="202" spans="1:16" x14ac:dyDescent="0.4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  <c r="P202" s="1" t="str">
        <f t="shared" si="6"/>
        <v>4-12-2021</v>
      </c>
    </row>
    <row r="203" spans="1:16" x14ac:dyDescent="0.4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  <c r="P203" s="1" t="str">
        <f t="shared" si="6"/>
        <v>4-12-2021</v>
      </c>
    </row>
    <row r="204" spans="1:16" x14ac:dyDescent="0.4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  <c r="P204" s="1" t="str">
        <f t="shared" si="6"/>
        <v>5-12-2021</v>
      </c>
    </row>
    <row r="205" spans="1:16" x14ac:dyDescent="0.4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  <c r="P205" s="1" t="str">
        <f t="shared" si="6"/>
        <v>5-12-2021</v>
      </c>
    </row>
    <row r="206" spans="1:16" x14ac:dyDescent="0.4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  <c r="P206" s="1" t="str">
        <f t="shared" si="6"/>
        <v>5-12-2021</v>
      </c>
    </row>
    <row r="207" spans="1:16" x14ac:dyDescent="0.4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  <c r="P207" s="1" t="str">
        <f t="shared" si="6"/>
        <v>6-12-2021</v>
      </c>
    </row>
    <row r="208" spans="1:16" x14ac:dyDescent="0.4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  <c r="P208" s="1" t="str">
        <f t="shared" si="6"/>
        <v>6-12-2021</v>
      </c>
    </row>
    <row r="209" spans="1:16" x14ac:dyDescent="0.4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  <c r="P209" s="1" t="str">
        <f t="shared" si="6"/>
        <v>6-12-2021</v>
      </c>
    </row>
    <row r="210" spans="1:16" x14ac:dyDescent="0.4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  <c r="P210" s="1" t="str">
        <f t="shared" si="6"/>
        <v>7-12-2021</v>
      </c>
    </row>
    <row r="211" spans="1:16" x14ac:dyDescent="0.4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  <c r="P211" s="1" t="str">
        <f t="shared" si="6"/>
        <v>7-12-2021</v>
      </c>
    </row>
    <row r="212" spans="1:16" x14ac:dyDescent="0.4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  <c r="P212" s="1" t="str">
        <f t="shared" si="6"/>
        <v>7-12-2021</v>
      </c>
    </row>
    <row r="213" spans="1:16" x14ac:dyDescent="0.4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  <c r="P213" s="1" t="str">
        <f t="shared" si="6"/>
        <v>8-12-2021</v>
      </c>
    </row>
    <row r="214" spans="1:16" x14ac:dyDescent="0.4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  <c r="P214" s="1" t="str">
        <f t="shared" si="6"/>
        <v>8-12-2021</v>
      </c>
    </row>
    <row r="215" spans="1:16" x14ac:dyDescent="0.4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  <c r="P215" s="1" t="str">
        <f t="shared" si="6"/>
        <v>8-12-2021</v>
      </c>
    </row>
    <row r="216" spans="1:16" x14ac:dyDescent="0.4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  <c r="P216" s="1" t="str">
        <f t="shared" si="6"/>
        <v>9-12-2021</v>
      </c>
    </row>
    <row r="217" spans="1:16" x14ac:dyDescent="0.4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  <c r="P217" s="1" t="str">
        <f t="shared" si="6"/>
        <v>9-12-2021</v>
      </c>
    </row>
    <row r="218" spans="1:16" x14ac:dyDescent="0.4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  <c r="P218" s="1" t="str">
        <f t="shared" si="6"/>
        <v>9-12-2021</v>
      </c>
    </row>
    <row r="219" spans="1:16" x14ac:dyDescent="0.4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  <c r="P219" s="1" t="str">
        <f t="shared" si="6"/>
        <v>10-12-2021</v>
      </c>
    </row>
    <row r="220" spans="1:16" x14ac:dyDescent="0.4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  <c r="P220" s="1" t="str">
        <f t="shared" si="6"/>
        <v>10-12-2021</v>
      </c>
    </row>
    <row r="221" spans="1:16" x14ac:dyDescent="0.4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  <c r="P221" s="1" t="str">
        <f t="shared" si="6"/>
        <v>10-12-2021</v>
      </c>
    </row>
    <row r="222" spans="1:16" x14ac:dyDescent="0.4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  <c r="P222" s="1" t="str">
        <f t="shared" si="6"/>
        <v>11-12-2021</v>
      </c>
    </row>
    <row r="223" spans="1:16" x14ac:dyDescent="0.4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  <c r="P223" s="1" t="str">
        <f t="shared" si="6"/>
        <v>11-12-2021</v>
      </c>
    </row>
    <row r="224" spans="1:16" x14ac:dyDescent="0.4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  <c r="P224" s="1" t="str">
        <f t="shared" si="6"/>
        <v>11-12-2021</v>
      </c>
    </row>
    <row r="225" spans="1:16" x14ac:dyDescent="0.4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  <c r="P225" s="1" t="str">
        <f t="shared" si="6"/>
        <v>12-12-2021</v>
      </c>
    </row>
    <row r="226" spans="1:16" x14ac:dyDescent="0.4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  <c r="P226" s="1" t="str">
        <f t="shared" si="6"/>
        <v>12-12-2021</v>
      </c>
    </row>
    <row r="227" spans="1:16" x14ac:dyDescent="0.4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  <c r="P227" s="1" t="str">
        <f t="shared" si="6"/>
        <v>12-12-2021</v>
      </c>
    </row>
    <row r="228" spans="1:16" x14ac:dyDescent="0.4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  <c r="P228" s="1" t="str">
        <f t="shared" si="6"/>
        <v>13-12-2021</v>
      </c>
    </row>
    <row r="229" spans="1:16" x14ac:dyDescent="0.4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  <c r="P229" s="1" t="str">
        <f t="shared" si="6"/>
        <v>13-12-2021</v>
      </c>
    </row>
    <row r="230" spans="1:16" x14ac:dyDescent="0.4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  <c r="P230" s="1" t="str">
        <f t="shared" si="6"/>
        <v>13-12-2021</v>
      </c>
    </row>
    <row r="231" spans="1:16" x14ac:dyDescent="0.4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  <c r="P231" s="1" t="str">
        <f t="shared" si="6"/>
        <v>13-12-2021</v>
      </c>
    </row>
    <row r="232" spans="1:16" x14ac:dyDescent="0.4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  <c r="P232" s="1" t="str">
        <f t="shared" si="6"/>
        <v>14-12-2021</v>
      </c>
    </row>
    <row r="233" spans="1:16" x14ac:dyDescent="0.4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  <c r="P233" s="1" t="str">
        <f t="shared" si="6"/>
        <v>14-12-2021</v>
      </c>
    </row>
    <row r="234" spans="1:16" x14ac:dyDescent="0.4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  <c r="P234" s="1" t="str">
        <f t="shared" si="6"/>
        <v>14-12-2021</v>
      </c>
    </row>
    <row r="235" spans="1:16" x14ac:dyDescent="0.4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  <c r="P235" s="1" t="str">
        <f t="shared" si="6"/>
        <v>14-12-2021</v>
      </c>
    </row>
    <row r="236" spans="1:16" x14ac:dyDescent="0.4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  <c r="P236" s="1" t="str">
        <f t="shared" si="6"/>
        <v>15-12-2021</v>
      </c>
    </row>
    <row r="237" spans="1:16" x14ac:dyDescent="0.4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  <c r="P237" s="1" t="str">
        <f t="shared" si="6"/>
        <v>15-12-2021</v>
      </c>
    </row>
    <row r="238" spans="1:16" x14ac:dyDescent="0.4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  <c r="P238" s="1" t="str">
        <f t="shared" si="6"/>
        <v>15-12-2021</v>
      </c>
    </row>
    <row r="239" spans="1:16" x14ac:dyDescent="0.4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  <c r="P239" s="1" t="str">
        <f t="shared" si="6"/>
        <v>16-12-2021</v>
      </c>
    </row>
    <row r="240" spans="1:16" x14ac:dyDescent="0.4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  <c r="P240" s="1" t="str">
        <f t="shared" si="6"/>
        <v>16-12-2021</v>
      </c>
    </row>
    <row r="241" spans="1:16" x14ac:dyDescent="0.4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  <c r="P241" s="1" t="str">
        <f t="shared" si="6"/>
        <v>16-12-2021</v>
      </c>
    </row>
    <row r="242" spans="1:16" x14ac:dyDescent="0.4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  <c r="P242" s="1" t="str">
        <f t="shared" si="6"/>
        <v>16-12-2021</v>
      </c>
    </row>
    <row r="243" spans="1:16" x14ac:dyDescent="0.4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  <c r="P243" s="1" t="str">
        <f t="shared" si="6"/>
        <v>17-12-2021</v>
      </c>
    </row>
    <row r="244" spans="1:16" x14ac:dyDescent="0.4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  <c r="P244" s="1" t="str">
        <f t="shared" si="6"/>
        <v>17-12-2021</v>
      </c>
    </row>
    <row r="245" spans="1:16" x14ac:dyDescent="0.4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  <c r="P245" s="1" t="str">
        <f t="shared" si="6"/>
        <v>17-12-2021</v>
      </c>
    </row>
    <row r="246" spans="1:16" x14ac:dyDescent="0.4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  <c r="P246" s="1" t="str">
        <f t="shared" si="6"/>
        <v>17-12-2021</v>
      </c>
    </row>
    <row r="247" spans="1:16" x14ac:dyDescent="0.4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  <c r="P247" s="1" t="str">
        <f t="shared" si="6"/>
        <v>18-12-2021</v>
      </c>
    </row>
    <row r="248" spans="1:16" x14ac:dyDescent="0.4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  <c r="P248" s="1" t="str">
        <f t="shared" si="6"/>
        <v>18-12-2021</v>
      </c>
    </row>
    <row r="249" spans="1:16" x14ac:dyDescent="0.4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  <c r="P249" s="1" t="str">
        <f t="shared" si="6"/>
        <v>18-12-2021</v>
      </c>
    </row>
    <row r="250" spans="1:16" x14ac:dyDescent="0.4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  <c r="P250" s="1" t="str">
        <f t="shared" si="6"/>
        <v>18-12-2021</v>
      </c>
    </row>
    <row r="251" spans="1:16" x14ac:dyDescent="0.4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  <c r="P251" s="1" t="str">
        <f t="shared" si="6"/>
        <v>19-12-2021</v>
      </c>
    </row>
    <row r="252" spans="1:16" x14ac:dyDescent="0.4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  <c r="P252" s="1" t="str">
        <f t="shared" si="6"/>
        <v>19-12-2021</v>
      </c>
    </row>
    <row r="253" spans="1:16" x14ac:dyDescent="0.4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  <c r="P253" s="1" t="str">
        <f t="shared" si="6"/>
        <v>19-12-2021</v>
      </c>
    </row>
    <row r="254" spans="1:16" x14ac:dyDescent="0.4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  <c r="P254" s="1" t="str">
        <f t="shared" si="6"/>
        <v>19-12-2021</v>
      </c>
    </row>
    <row r="255" spans="1:16" x14ac:dyDescent="0.4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  <c r="P255" s="1" t="str">
        <f t="shared" si="6"/>
        <v>20-12-2021</v>
      </c>
    </row>
    <row r="256" spans="1:16" x14ac:dyDescent="0.4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  <c r="P256" s="1" t="str">
        <f t="shared" si="6"/>
        <v>20-12-2021</v>
      </c>
    </row>
    <row r="257" spans="1:16" x14ac:dyDescent="0.4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  <c r="P257" s="1" t="str">
        <f t="shared" si="6"/>
        <v>20-12-2021</v>
      </c>
    </row>
    <row r="258" spans="1:16" x14ac:dyDescent="0.4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  <c r="P258" s="1" t="str">
        <f t="shared" si="6"/>
        <v>21-12-2021</v>
      </c>
    </row>
    <row r="259" spans="1:16" x14ac:dyDescent="0.4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  <c r="P259" s="1" t="str">
        <f t="shared" ref="P259:P322" si="7">B259&amp;"-"&amp;C259&amp;"-"&amp;D259</f>
        <v>21-12-2021</v>
      </c>
    </row>
    <row r="260" spans="1:16" x14ac:dyDescent="0.4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  <c r="P260" s="1" t="str">
        <f t="shared" si="7"/>
        <v>21-12-2021</v>
      </c>
    </row>
    <row r="261" spans="1:16" x14ac:dyDescent="0.4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  <c r="P261" s="1" t="str">
        <f t="shared" si="7"/>
        <v>21-12-2021</v>
      </c>
    </row>
    <row r="262" spans="1:16" x14ac:dyDescent="0.4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  <c r="P262" s="1" t="str">
        <f t="shared" si="7"/>
        <v>22-12-2021</v>
      </c>
    </row>
    <row r="263" spans="1:16" x14ac:dyDescent="0.4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  <c r="P263" s="1" t="str">
        <f t="shared" si="7"/>
        <v>22-12-2021</v>
      </c>
    </row>
    <row r="264" spans="1:16" x14ac:dyDescent="0.4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  <c r="P264" s="1" t="str">
        <f t="shared" si="7"/>
        <v>22-12-2021</v>
      </c>
    </row>
    <row r="265" spans="1:16" x14ac:dyDescent="0.4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  <c r="P265" s="1" t="str">
        <f t="shared" si="7"/>
        <v>23-12-2021</v>
      </c>
    </row>
    <row r="266" spans="1:16" x14ac:dyDescent="0.4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  <c r="P266" s="1" t="str">
        <f t="shared" si="7"/>
        <v>23-12-2021</v>
      </c>
    </row>
    <row r="267" spans="1:16" x14ac:dyDescent="0.4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  <c r="P267" s="1" t="str">
        <f t="shared" si="7"/>
        <v>23-12-2021</v>
      </c>
    </row>
    <row r="268" spans="1:16" x14ac:dyDescent="0.4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  <c r="P268" s="1" t="str">
        <f t="shared" si="7"/>
        <v>23-12-2021</v>
      </c>
    </row>
    <row r="269" spans="1:16" x14ac:dyDescent="0.4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  <c r="P269" s="1" t="str">
        <f t="shared" si="7"/>
        <v>24-12-2021</v>
      </c>
    </row>
    <row r="270" spans="1:16" x14ac:dyDescent="0.4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  <c r="P270" s="1" t="str">
        <f t="shared" si="7"/>
        <v>24-12-2021</v>
      </c>
    </row>
    <row r="271" spans="1:16" x14ac:dyDescent="0.4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  <c r="P271" s="1" t="str">
        <f t="shared" si="7"/>
        <v>24-12-2021</v>
      </c>
    </row>
    <row r="272" spans="1:16" x14ac:dyDescent="0.4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  <c r="P272" s="1" t="str">
        <f t="shared" si="7"/>
        <v>24-12-2021</v>
      </c>
    </row>
    <row r="273" spans="1:16" x14ac:dyDescent="0.4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  <c r="P273" s="1" t="str">
        <f t="shared" si="7"/>
        <v>25-12-2021</v>
      </c>
    </row>
    <row r="274" spans="1:16" x14ac:dyDescent="0.4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  <c r="P274" s="1" t="str">
        <f t="shared" si="7"/>
        <v>25-12-2021</v>
      </c>
    </row>
    <row r="275" spans="1:16" x14ac:dyDescent="0.4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  <c r="P275" s="1" t="str">
        <f t="shared" si="7"/>
        <v>25-12-2021</v>
      </c>
    </row>
    <row r="276" spans="1:16" x14ac:dyDescent="0.4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  <c r="P276" s="1" t="str">
        <f t="shared" si="7"/>
        <v>25-12-2021</v>
      </c>
    </row>
    <row r="277" spans="1:16" x14ac:dyDescent="0.4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  <c r="P277" s="1" t="str">
        <f t="shared" si="7"/>
        <v>26-12-2021</v>
      </c>
    </row>
    <row r="278" spans="1:16" x14ac:dyDescent="0.4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  <c r="P278" s="1" t="str">
        <f t="shared" si="7"/>
        <v>26-12-2021</v>
      </c>
    </row>
    <row r="279" spans="1:16" x14ac:dyDescent="0.4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  <c r="P279" s="1" t="str">
        <f t="shared" si="7"/>
        <v>26-12-2021</v>
      </c>
    </row>
    <row r="280" spans="1:16" x14ac:dyDescent="0.4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  <c r="P280" s="1" t="str">
        <f t="shared" si="7"/>
        <v>27-12-2021</v>
      </c>
    </row>
    <row r="281" spans="1:16" x14ac:dyDescent="0.4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  <c r="P281" s="1" t="str">
        <f t="shared" si="7"/>
        <v>27-12-2021</v>
      </c>
    </row>
    <row r="282" spans="1:16" x14ac:dyDescent="0.4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  <c r="P282" s="1" t="str">
        <f t="shared" si="7"/>
        <v>27-12-2021</v>
      </c>
    </row>
    <row r="283" spans="1:16" x14ac:dyDescent="0.4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  <c r="P283" s="1" t="str">
        <f t="shared" si="7"/>
        <v>27-12-2021</v>
      </c>
    </row>
    <row r="284" spans="1:16" x14ac:dyDescent="0.4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  <c r="P284" s="1" t="str">
        <f t="shared" si="7"/>
        <v>28-12-2021</v>
      </c>
    </row>
    <row r="285" spans="1:16" x14ac:dyDescent="0.4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  <c r="P285" s="1" t="str">
        <f t="shared" si="7"/>
        <v>28-12-2021</v>
      </c>
    </row>
    <row r="286" spans="1:16" x14ac:dyDescent="0.4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  <c r="P286" s="1" t="str">
        <f t="shared" si="7"/>
        <v>28-12-2021</v>
      </c>
    </row>
    <row r="287" spans="1:16" x14ac:dyDescent="0.4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  <c r="P287" s="1" t="str">
        <f t="shared" si="7"/>
        <v>29-12-2021</v>
      </c>
    </row>
    <row r="288" spans="1:16" x14ac:dyDescent="0.4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  <c r="P288" s="1" t="str">
        <f t="shared" si="7"/>
        <v>29-12-2021</v>
      </c>
    </row>
    <row r="289" spans="1:16" x14ac:dyDescent="0.4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  <c r="P289" s="1" t="str">
        <f t="shared" si="7"/>
        <v>29-12-2021</v>
      </c>
    </row>
    <row r="290" spans="1:16" x14ac:dyDescent="0.4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  <c r="P290" s="1" t="str">
        <f t="shared" si="7"/>
        <v>29-12-2021</v>
      </c>
    </row>
    <row r="291" spans="1:16" x14ac:dyDescent="0.4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  <c r="P291" s="1" t="str">
        <f t="shared" si="7"/>
        <v>30-12-2021</v>
      </c>
    </row>
    <row r="292" spans="1:16" x14ac:dyDescent="0.4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  <c r="P292" s="1" t="str">
        <f t="shared" si="7"/>
        <v>30-12-2021</v>
      </c>
    </row>
    <row r="293" spans="1:16" x14ac:dyDescent="0.4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  <c r="P293" s="1" t="str">
        <f t="shared" si="7"/>
        <v>30-12-2021</v>
      </c>
    </row>
    <row r="294" spans="1:16" x14ac:dyDescent="0.4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  <c r="P294" s="1" t="str">
        <f t="shared" si="7"/>
        <v>31-12-2021</v>
      </c>
    </row>
    <row r="295" spans="1:16" x14ac:dyDescent="0.4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  <c r="P295" s="1" t="str">
        <f t="shared" si="7"/>
        <v>31-12-2021</v>
      </c>
    </row>
    <row r="296" spans="1:16" x14ac:dyDescent="0.4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  <c r="P296" s="1" t="str">
        <f t="shared" si="7"/>
        <v>31-12-2021</v>
      </c>
    </row>
    <row r="297" spans="1:16" x14ac:dyDescent="0.4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  <c r="P297" s="1" t="str">
        <f t="shared" si="7"/>
        <v>31-12-2021</v>
      </c>
    </row>
    <row r="298" spans="1:16" x14ac:dyDescent="0.4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  <c r="P298" s="1" t="str">
        <f t="shared" si="7"/>
        <v>1-1-2022</v>
      </c>
    </row>
    <row r="299" spans="1:16" x14ac:dyDescent="0.4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  <c r="P299" s="1" t="str">
        <f t="shared" si="7"/>
        <v>1-1-2022</v>
      </c>
    </row>
    <row r="300" spans="1:16" x14ac:dyDescent="0.4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  <c r="P300" s="1" t="str">
        <f t="shared" si="7"/>
        <v>1-1-2022</v>
      </c>
    </row>
    <row r="301" spans="1:16" x14ac:dyDescent="0.4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  <c r="P301" s="1" t="str">
        <f t="shared" si="7"/>
        <v>2-1-2022</v>
      </c>
    </row>
    <row r="302" spans="1:16" x14ac:dyDescent="0.4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  <c r="P302" s="1" t="str">
        <f t="shared" si="7"/>
        <v>2-1-2022</v>
      </c>
    </row>
    <row r="303" spans="1:16" x14ac:dyDescent="0.4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  <c r="P303" s="1" t="str">
        <f t="shared" si="7"/>
        <v>2-1-2022</v>
      </c>
    </row>
    <row r="304" spans="1:16" x14ac:dyDescent="0.4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  <c r="P304" s="1" t="str">
        <f t="shared" si="7"/>
        <v>3-1-2022</v>
      </c>
    </row>
    <row r="305" spans="1:16" x14ac:dyDescent="0.4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  <c r="P305" s="1" t="str">
        <f t="shared" si="7"/>
        <v>3-1-2022</v>
      </c>
    </row>
    <row r="306" spans="1:16" x14ac:dyDescent="0.4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  <c r="P306" s="1" t="str">
        <f t="shared" si="7"/>
        <v>3-1-2022</v>
      </c>
    </row>
    <row r="307" spans="1:16" x14ac:dyDescent="0.4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  <c r="P307" s="1" t="str">
        <f t="shared" si="7"/>
        <v>3-1-2022</v>
      </c>
    </row>
    <row r="308" spans="1:16" x14ac:dyDescent="0.4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  <c r="P308" s="1" t="str">
        <f t="shared" si="7"/>
        <v>4-1-2022</v>
      </c>
    </row>
    <row r="309" spans="1:16" x14ac:dyDescent="0.4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  <c r="P309" s="1" t="str">
        <f t="shared" si="7"/>
        <v>4-1-2022</v>
      </c>
    </row>
    <row r="310" spans="1:16" x14ac:dyDescent="0.4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  <c r="P310" s="1" t="str">
        <f t="shared" si="7"/>
        <v>4-1-2022</v>
      </c>
    </row>
    <row r="311" spans="1:16" x14ac:dyDescent="0.4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  <c r="P311" s="1" t="str">
        <f t="shared" si="7"/>
        <v>5-1-2022</v>
      </c>
    </row>
    <row r="312" spans="1:16" x14ac:dyDescent="0.4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  <c r="P312" s="1" t="str">
        <f t="shared" si="7"/>
        <v>5-1-2022</v>
      </c>
    </row>
    <row r="313" spans="1:16" x14ac:dyDescent="0.4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  <c r="P313" s="1" t="str">
        <f t="shared" si="7"/>
        <v>5-1-2022</v>
      </c>
    </row>
    <row r="314" spans="1:16" x14ac:dyDescent="0.4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  <c r="P314" s="1" t="str">
        <f t="shared" si="7"/>
        <v>5-1-2022</v>
      </c>
    </row>
    <row r="315" spans="1:16" x14ac:dyDescent="0.4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  <c r="P315" s="1" t="str">
        <f t="shared" si="7"/>
        <v>6-1-2022</v>
      </c>
    </row>
    <row r="316" spans="1:16" x14ac:dyDescent="0.4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  <c r="P316" s="1" t="str">
        <f t="shared" si="7"/>
        <v>6-1-2022</v>
      </c>
    </row>
    <row r="317" spans="1:16" x14ac:dyDescent="0.4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  <c r="P317" s="1" t="str">
        <f t="shared" si="7"/>
        <v>6-1-2022</v>
      </c>
    </row>
    <row r="318" spans="1:16" x14ac:dyDescent="0.4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  <c r="P318" s="1" t="str">
        <f t="shared" si="7"/>
        <v>6-1-2022</v>
      </c>
    </row>
    <row r="319" spans="1:16" x14ac:dyDescent="0.4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  <c r="P319" s="1" t="str">
        <f t="shared" si="7"/>
        <v>7-1-2022</v>
      </c>
    </row>
    <row r="320" spans="1:16" x14ac:dyDescent="0.4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  <c r="P320" s="1" t="str">
        <f t="shared" si="7"/>
        <v>7-1-2022</v>
      </c>
    </row>
    <row r="321" spans="1:16" x14ac:dyDescent="0.4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  <c r="P321" s="1" t="str">
        <f t="shared" si="7"/>
        <v>7-1-2022</v>
      </c>
    </row>
    <row r="322" spans="1:16" x14ac:dyDescent="0.4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  <c r="P322" s="1" t="str">
        <f t="shared" si="7"/>
        <v>7-1-2022</v>
      </c>
    </row>
    <row r="323" spans="1:16" x14ac:dyDescent="0.4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  <c r="P323" s="1" t="str">
        <f t="shared" ref="P323:P386" si="8">B323&amp;"-"&amp;C323&amp;"-"&amp;D323</f>
        <v>8-1-2022</v>
      </c>
    </row>
    <row r="324" spans="1:16" x14ac:dyDescent="0.4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  <c r="P324" s="1" t="str">
        <f t="shared" si="8"/>
        <v>8-1-2022</v>
      </c>
    </row>
    <row r="325" spans="1:16" x14ac:dyDescent="0.4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  <c r="P325" s="1" t="str">
        <f t="shared" si="8"/>
        <v>8-1-2022</v>
      </c>
    </row>
    <row r="326" spans="1:16" x14ac:dyDescent="0.4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  <c r="P326" s="1" t="str">
        <f t="shared" si="8"/>
        <v>8-1-2022</v>
      </c>
    </row>
    <row r="327" spans="1:16" x14ac:dyDescent="0.4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  <c r="P327" s="1" t="str">
        <f t="shared" si="8"/>
        <v>9-1-2022</v>
      </c>
    </row>
    <row r="328" spans="1:16" x14ac:dyDescent="0.4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  <c r="P328" s="1" t="str">
        <f t="shared" si="8"/>
        <v>9-1-2022</v>
      </c>
    </row>
    <row r="329" spans="1:16" x14ac:dyDescent="0.4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  <c r="P329" s="1" t="str">
        <f t="shared" si="8"/>
        <v>9-1-2022</v>
      </c>
    </row>
    <row r="330" spans="1:16" x14ac:dyDescent="0.4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  <c r="P330" s="1" t="str">
        <f t="shared" si="8"/>
        <v>9-1-2022</v>
      </c>
    </row>
    <row r="331" spans="1:16" x14ac:dyDescent="0.4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  <c r="P331" s="1" t="str">
        <f t="shared" si="8"/>
        <v>10-1-2022</v>
      </c>
    </row>
    <row r="332" spans="1:16" x14ac:dyDescent="0.4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  <c r="P332" s="1" t="str">
        <f t="shared" si="8"/>
        <v>10-1-2022</v>
      </c>
    </row>
    <row r="333" spans="1:16" x14ac:dyDescent="0.4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  <c r="P333" s="1" t="str">
        <f t="shared" si="8"/>
        <v>10-1-2022</v>
      </c>
    </row>
    <row r="334" spans="1:16" x14ac:dyDescent="0.4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  <c r="P334" s="1" t="str">
        <f t="shared" si="8"/>
        <v>10-1-2022</v>
      </c>
    </row>
    <row r="335" spans="1:16" x14ac:dyDescent="0.4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  <c r="P335" s="1" t="str">
        <f t="shared" si="8"/>
        <v>11-1-2022</v>
      </c>
    </row>
    <row r="336" spans="1:16" x14ac:dyDescent="0.4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  <c r="P336" s="1" t="str">
        <f t="shared" si="8"/>
        <v>11-1-2022</v>
      </c>
    </row>
    <row r="337" spans="1:16" x14ac:dyDescent="0.4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  <c r="P337" s="1" t="str">
        <f t="shared" si="8"/>
        <v>11-1-2022</v>
      </c>
    </row>
    <row r="338" spans="1:16" x14ac:dyDescent="0.4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  <c r="P338" s="1" t="str">
        <f t="shared" si="8"/>
        <v>11-1-2022</v>
      </c>
    </row>
    <row r="339" spans="1:16" x14ac:dyDescent="0.4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  <c r="P339" s="1" t="str">
        <f t="shared" si="8"/>
        <v>12-1-2022</v>
      </c>
    </row>
    <row r="340" spans="1:16" x14ac:dyDescent="0.4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  <c r="P340" s="1" t="str">
        <f t="shared" si="8"/>
        <v>12-1-2022</v>
      </c>
    </row>
    <row r="341" spans="1:16" x14ac:dyDescent="0.4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  <c r="P341" s="1" t="str">
        <f t="shared" si="8"/>
        <v>12-1-2022</v>
      </c>
    </row>
    <row r="342" spans="1:16" x14ac:dyDescent="0.4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  <c r="P342" s="1" t="str">
        <f t="shared" si="8"/>
        <v>12-1-2022</v>
      </c>
    </row>
    <row r="343" spans="1:16" x14ac:dyDescent="0.4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  <c r="P343" s="1" t="str">
        <f t="shared" si="8"/>
        <v>13-1-2022</v>
      </c>
    </row>
    <row r="344" spans="1:16" x14ac:dyDescent="0.4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  <c r="P344" s="1" t="str">
        <f t="shared" si="8"/>
        <v>13-1-2022</v>
      </c>
    </row>
    <row r="345" spans="1:16" x14ac:dyDescent="0.4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  <c r="P345" s="1" t="str">
        <f t="shared" si="8"/>
        <v>13-1-2022</v>
      </c>
    </row>
    <row r="346" spans="1:16" x14ac:dyDescent="0.4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  <c r="P346" s="1" t="str">
        <f t="shared" si="8"/>
        <v>13-1-2022</v>
      </c>
    </row>
    <row r="347" spans="1:16" x14ac:dyDescent="0.4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  <c r="P347" s="1" t="str">
        <f t="shared" si="8"/>
        <v>14-1-2022</v>
      </c>
    </row>
    <row r="348" spans="1:16" x14ac:dyDescent="0.4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  <c r="P348" s="1" t="str">
        <f t="shared" si="8"/>
        <v>14-1-2022</v>
      </c>
    </row>
    <row r="349" spans="1:16" x14ac:dyDescent="0.4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  <c r="P349" s="1" t="str">
        <f t="shared" si="8"/>
        <v>14-1-2022</v>
      </c>
    </row>
    <row r="350" spans="1:16" x14ac:dyDescent="0.4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  <c r="P350" s="1" t="str">
        <f t="shared" si="8"/>
        <v>14-1-2022</v>
      </c>
    </row>
    <row r="351" spans="1:16" x14ac:dyDescent="0.4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  <c r="P351" s="1" t="str">
        <f t="shared" si="8"/>
        <v>15-1-2022</v>
      </c>
    </row>
    <row r="352" spans="1:16" x14ac:dyDescent="0.4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  <c r="P352" s="1" t="str">
        <f t="shared" si="8"/>
        <v>15-1-2022</v>
      </c>
    </row>
    <row r="353" spans="1:16" x14ac:dyDescent="0.4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  <c r="P353" s="1" t="str">
        <f t="shared" si="8"/>
        <v>15-1-2022</v>
      </c>
    </row>
    <row r="354" spans="1:16" x14ac:dyDescent="0.4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  <c r="P354" s="1" t="str">
        <f t="shared" si="8"/>
        <v>15-1-2022</v>
      </c>
    </row>
    <row r="355" spans="1:16" x14ac:dyDescent="0.4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  <c r="P355" s="1" t="str">
        <f t="shared" si="8"/>
        <v>16-1-2022</v>
      </c>
    </row>
    <row r="356" spans="1:16" x14ac:dyDescent="0.4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  <c r="P356" s="1" t="str">
        <f t="shared" si="8"/>
        <v>16-1-2022</v>
      </c>
    </row>
    <row r="357" spans="1:16" x14ac:dyDescent="0.4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  <c r="P357" s="1" t="str">
        <f t="shared" si="8"/>
        <v>16-1-2022</v>
      </c>
    </row>
    <row r="358" spans="1:16" x14ac:dyDescent="0.4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  <c r="P358" s="1" t="str">
        <f t="shared" si="8"/>
        <v>17-1-2022</v>
      </c>
    </row>
    <row r="359" spans="1:16" x14ac:dyDescent="0.4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  <c r="P359" s="1" t="str">
        <f t="shared" si="8"/>
        <v>17-1-2022</v>
      </c>
    </row>
    <row r="360" spans="1:16" x14ac:dyDescent="0.4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  <c r="P360" s="1" t="str">
        <f t="shared" si="8"/>
        <v>17-1-2022</v>
      </c>
    </row>
    <row r="361" spans="1:16" x14ac:dyDescent="0.4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  <c r="P361" s="1" t="str">
        <f t="shared" si="8"/>
        <v>18-1-2022</v>
      </c>
    </row>
    <row r="362" spans="1:16" x14ac:dyDescent="0.4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  <c r="P362" s="1" t="str">
        <f t="shared" si="8"/>
        <v>18-1-2022</v>
      </c>
    </row>
    <row r="363" spans="1:16" x14ac:dyDescent="0.4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  <c r="P363" s="1" t="str">
        <f t="shared" si="8"/>
        <v>18-1-2022</v>
      </c>
    </row>
    <row r="364" spans="1:16" x14ac:dyDescent="0.4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  <c r="P364" s="1" t="str">
        <f t="shared" si="8"/>
        <v>18-1-2022</v>
      </c>
    </row>
    <row r="365" spans="1:16" x14ac:dyDescent="0.4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  <c r="P365" s="1" t="str">
        <f t="shared" si="8"/>
        <v>19-1-2022</v>
      </c>
    </row>
    <row r="366" spans="1:16" x14ac:dyDescent="0.4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  <c r="P366" s="1" t="str">
        <f t="shared" si="8"/>
        <v>19-1-2022</v>
      </c>
    </row>
    <row r="367" spans="1:16" x14ac:dyDescent="0.4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  <c r="P367" s="1" t="str">
        <f t="shared" si="8"/>
        <v>19-1-2022</v>
      </c>
    </row>
    <row r="368" spans="1:16" x14ac:dyDescent="0.4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  <c r="P368" s="1" t="str">
        <f t="shared" si="8"/>
        <v>19-1-2022</v>
      </c>
    </row>
    <row r="369" spans="1:16" x14ac:dyDescent="0.4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  <c r="P369" s="1" t="str">
        <f t="shared" si="8"/>
        <v>20-1-2022</v>
      </c>
    </row>
    <row r="370" spans="1:16" x14ac:dyDescent="0.4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  <c r="P370" s="1" t="str">
        <f t="shared" si="8"/>
        <v>20-1-2022</v>
      </c>
    </row>
    <row r="371" spans="1:16" x14ac:dyDescent="0.4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  <c r="P371" s="1" t="str">
        <f t="shared" si="8"/>
        <v>20-1-2022</v>
      </c>
    </row>
    <row r="372" spans="1:16" x14ac:dyDescent="0.4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  <c r="P372" s="1" t="str">
        <f t="shared" si="8"/>
        <v>20-1-2022</v>
      </c>
    </row>
    <row r="373" spans="1:16" x14ac:dyDescent="0.4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  <c r="P373" s="1" t="str">
        <f t="shared" si="8"/>
        <v>21-1-2022</v>
      </c>
    </row>
    <row r="374" spans="1:16" x14ac:dyDescent="0.4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  <c r="P374" s="1" t="str">
        <f t="shared" si="8"/>
        <v>21-1-2022</v>
      </c>
    </row>
    <row r="375" spans="1:16" x14ac:dyDescent="0.4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  <c r="P375" s="1" t="str">
        <f t="shared" si="8"/>
        <v>21-1-2022</v>
      </c>
    </row>
    <row r="376" spans="1:16" x14ac:dyDescent="0.4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  <c r="P376" s="1" t="str">
        <f t="shared" si="8"/>
        <v>21-1-2022</v>
      </c>
    </row>
    <row r="377" spans="1:16" x14ac:dyDescent="0.4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  <c r="P377" s="1" t="str">
        <f t="shared" si="8"/>
        <v>22-1-2022</v>
      </c>
    </row>
    <row r="378" spans="1:16" x14ac:dyDescent="0.4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  <c r="P378" s="1" t="str">
        <f t="shared" si="8"/>
        <v>22-1-2022</v>
      </c>
    </row>
    <row r="379" spans="1:16" x14ac:dyDescent="0.4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  <c r="P379" s="1" t="str">
        <f t="shared" si="8"/>
        <v>22-1-2022</v>
      </c>
    </row>
    <row r="380" spans="1:16" x14ac:dyDescent="0.4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  <c r="P380" s="1" t="str">
        <f t="shared" si="8"/>
        <v>22-1-2022</v>
      </c>
    </row>
    <row r="381" spans="1:16" x14ac:dyDescent="0.4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  <c r="P381" s="1" t="str">
        <f t="shared" si="8"/>
        <v>23-1-2022</v>
      </c>
    </row>
    <row r="382" spans="1:16" x14ac:dyDescent="0.4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  <c r="P382" s="1" t="str">
        <f t="shared" si="8"/>
        <v>23-1-2022</v>
      </c>
    </row>
    <row r="383" spans="1:16" x14ac:dyDescent="0.4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  <c r="P383" s="1" t="str">
        <f t="shared" si="8"/>
        <v>23-1-2022</v>
      </c>
    </row>
    <row r="384" spans="1:16" x14ac:dyDescent="0.4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  <c r="P384" s="1" t="str">
        <f t="shared" si="8"/>
        <v>23-1-2022</v>
      </c>
    </row>
    <row r="385" spans="1:16" x14ac:dyDescent="0.4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  <c r="P385" s="1" t="str">
        <f t="shared" si="8"/>
        <v>24-1-2022</v>
      </c>
    </row>
    <row r="386" spans="1:16" x14ac:dyDescent="0.4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  <c r="P386" s="1" t="str">
        <f t="shared" si="8"/>
        <v>24-1-2022</v>
      </c>
    </row>
    <row r="387" spans="1:16" x14ac:dyDescent="0.4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  <c r="P387" s="1" t="str">
        <f t="shared" ref="P387:P450" si="9">B387&amp;"-"&amp;C387&amp;"-"&amp;D387</f>
        <v>24-1-2022</v>
      </c>
    </row>
    <row r="388" spans="1:16" x14ac:dyDescent="0.4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  <c r="P388" s="1" t="str">
        <f t="shared" si="9"/>
        <v>24-1-2022</v>
      </c>
    </row>
    <row r="389" spans="1:16" x14ac:dyDescent="0.4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  <c r="P389" s="1" t="str">
        <f t="shared" si="9"/>
        <v>25-1-2022</v>
      </c>
    </row>
    <row r="390" spans="1:16" x14ac:dyDescent="0.4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  <c r="P390" s="1" t="str">
        <f t="shared" si="9"/>
        <v>25-1-2022</v>
      </c>
    </row>
    <row r="391" spans="1:16" x14ac:dyDescent="0.4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  <c r="P391" s="1" t="str">
        <f t="shared" si="9"/>
        <v>25-1-2022</v>
      </c>
    </row>
    <row r="392" spans="1:16" x14ac:dyDescent="0.4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  <c r="P392" s="1" t="str">
        <f t="shared" si="9"/>
        <v>25-1-2022</v>
      </c>
    </row>
    <row r="393" spans="1:16" x14ac:dyDescent="0.4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  <c r="P393" s="1" t="str">
        <f t="shared" si="9"/>
        <v>26-1-2022</v>
      </c>
    </row>
    <row r="394" spans="1:16" x14ac:dyDescent="0.4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  <c r="P394" s="1" t="str">
        <f t="shared" si="9"/>
        <v>26-1-2022</v>
      </c>
    </row>
    <row r="395" spans="1:16" x14ac:dyDescent="0.4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  <c r="P395" s="1" t="str">
        <f t="shared" si="9"/>
        <v>26-1-2022</v>
      </c>
    </row>
    <row r="396" spans="1:16" x14ac:dyDescent="0.4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  <c r="P396" s="1" t="str">
        <f t="shared" si="9"/>
        <v>27-1-2022</v>
      </c>
    </row>
    <row r="397" spans="1:16" x14ac:dyDescent="0.4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  <c r="P397" s="1" t="str">
        <f t="shared" si="9"/>
        <v>27-1-2022</v>
      </c>
    </row>
    <row r="398" spans="1:16" x14ac:dyDescent="0.4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  <c r="P398" s="1" t="str">
        <f t="shared" si="9"/>
        <v>27-1-2022</v>
      </c>
    </row>
    <row r="399" spans="1:16" x14ac:dyDescent="0.4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  <c r="P399" s="1" t="str">
        <f t="shared" si="9"/>
        <v>27-1-2022</v>
      </c>
    </row>
    <row r="400" spans="1:16" x14ac:dyDescent="0.4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  <c r="P400" s="1" t="str">
        <f t="shared" si="9"/>
        <v>28-1-2022</v>
      </c>
    </row>
    <row r="401" spans="1:16" x14ac:dyDescent="0.4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  <c r="P401" s="1" t="str">
        <f t="shared" si="9"/>
        <v>28-1-2022</v>
      </c>
    </row>
    <row r="402" spans="1:16" x14ac:dyDescent="0.4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  <c r="P402" s="1" t="str">
        <f t="shared" si="9"/>
        <v>28-1-2022</v>
      </c>
    </row>
    <row r="403" spans="1:16" x14ac:dyDescent="0.4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  <c r="P403" s="1" t="str">
        <f t="shared" si="9"/>
        <v>29-1-2022</v>
      </c>
    </row>
    <row r="404" spans="1:16" x14ac:dyDescent="0.4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  <c r="P404" s="1" t="str">
        <f t="shared" si="9"/>
        <v>29-1-2022</v>
      </c>
    </row>
    <row r="405" spans="1:16" x14ac:dyDescent="0.4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  <c r="P405" s="1" t="str">
        <f t="shared" si="9"/>
        <v>29-1-2022</v>
      </c>
    </row>
    <row r="406" spans="1:16" x14ac:dyDescent="0.4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  <c r="P406" s="1" t="str">
        <f t="shared" si="9"/>
        <v>29-1-2022</v>
      </c>
    </row>
    <row r="407" spans="1:16" x14ac:dyDescent="0.4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  <c r="P407" s="1" t="str">
        <f t="shared" si="9"/>
        <v>30-1-2022</v>
      </c>
    </row>
    <row r="408" spans="1:16" x14ac:dyDescent="0.4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  <c r="P408" s="1" t="str">
        <f t="shared" si="9"/>
        <v>30-1-2022</v>
      </c>
    </row>
    <row r="409" spans="1:16" x14ac:dyDescent="0.4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  <c r="P409" s="1" t="str">
        <f t="shared" si="9"/>
        <v>30-1-2022</v>
      </c>
    </row>
    <row r="410" spans="1:16" x14ac:dyDescent="0.4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  <c r="P410" s="1" t="str">
        <f t="shared" si="9"/>
        <v>30-1-2022</v>
      </c>
    </row>
    <row r="411" spans="1:16" x14ac:dyDescent="0.4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  <c r="P411" s="1" t="str">
        <f t="shared" si="9"/>
        <v>31-1-2022</v>
      </c>
    </row>
    <row r="412" spans="1:16" x14ac:dyDescent="0.4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  <c r="P412" s="1" t="str">
        <f t="shared" si="9"/>
        <v>31-1-2022</v>
      </c>
    </row>
    <row r="413" spans="1:16" x14ac:dyDescent="0.4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  <c r="P413" s="1" t="str">
        <f t="shared" si="9"/>
        <v>31-1-2022</v>
      </c>
    </row>
    <row r="414" spans="1:16" x14ac:dyDescent="0.4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  <c r="P414" s="1" t="str">
        <f t="shared" si="9"/>
        <v>1-2-2022</v>
      </c>
    </row>
    <row r="415" spans="1:16" x14ac:dyDescent="0.4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  <c r="P415" s="1" t="str">
        <f t="shared" si="9"/>
        <v>1-2-2022</v>
      </c>
    </row>
    <row r="416" spans="1:16" x14ac:dyDescent="0.4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  <c r="P416" s="1" t="str">
        <f t="shared" si="9"/>
        <v>1-2-2022</v>
      </c>
    </row>
    <row r="417" spans="1:16" x14ac:dyDescent="0.4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  <c r="P417" s="1" t="str">
        <f t="shared" si="9"/>
        <v>1-2-2022</v>
      </c>
    </row>
    <row r="418" spans="1:16" x14ac:dyDescent="0.4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  <c r="P418" s="1" t="str">
        <f t="shared" si="9"/>
        <v>2-2-2022</v>
      </c>
    </row>
    <row r="419" spans="1:16" x14ac:dyDescent="0.4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  <c r="P419" s="1" t="str">
        <f t="shared" si="9"/>
        <v>2-2-2022</v>
      </c>
    </row>
    <row r="420" spans="1:16" x14ac:dyDescent="0.4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  <c r="P420" s="1" t="str">
        <f t="shared" si="9"/>
        <v>2-2-2022</v>
      </c>
    </row>
    <row r="421" spans="1:16" x14ac:dyDescent="0.4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  <c r="P421" s="1" t="str">
        <f t="shared" si="9"/>
        <v>3-2-2022</v>
      </c>
    </row>
    <row r="422" spans="1:16" x14ac:dyDescent="0.4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  <c r="P422" s="1" t="str">
        <f t="shared" si="9"/>
        <v>3-2-2022</v>
      </c>
    </row>
    <row r="423" spans="1:16" x14ac:dyDescent="0.4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  <c r="P423" s="1" t="str">
        <f t="shared" si="9"/>
        <v>3-2-2022</v>
      </c>
    </row>
    <row r="424" spans="1:16" x14ac:dyDescent="0.4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  <c r="P424" s="1" t="str">
        <f t="shared" si="9"/>
        <v>3-2-2022</v>
      </c>
    </row>
    <row r="425" spans="1:16" x14ac:dyDescent="0.4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  <c r="P425" s="1" t="str">
        <f t="shared" si="9"/>
        <v>4-2-2022</v>
      </c>
    </row>
    <row r="426" spans="1:16" x14ac:dyDescent="0.4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  <c r="P426" s="1" t="str">
        <f t="shared" si="9"/>
        <v>4-2-2022</v>
      </c>
    </row>
    <row r="427" spans="1:16" x14ac:dyDescent="0.4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  <c r="P427" s="1" t="str">
        <f t="shared" si="9"/>
        <v>4-2-2022</v>
      </c>
    </row>
    <row r="428" spans="1:16" x14ac:dyDescent="0.4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  <c r="P428" s="1" t="str">
        <f t="shared" si="9"/>
        <v>4-2-2022</v>
      </c>
    </row>
    <row r="429" spans="1:16" x14ac:dyDescent="0.4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  <c r="P429" s="1" t="str">
        <f t="shared" si="9"/>
        <v>5-2-2022</v>
      </c>
    </row>
    <row r="430" spans="1:16" x14ac:dyDescent="0.4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  <c r="P430" s="1" t="str">
        <f t="shared" si="9"/>
        <v>5-2-2022</v>
      </c>
    </row>
    <row r="431" spans="1:16" x14ac:dyDescent="0.4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  <c r="P431" s="1" t="str">
        <f t="shared" si="9"/>
        <v>5-2-2022</v>
      </c>
    </row>
    <row r="432" spans="1:16" x14ac:dyDescent="0.4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  <c r="P432" s="1" t="str">
        <f t="shared" si="9"/>
        <v>6-2-2022</v>
      </c>
    </row>
    <row r="433" spans="1:16" x14ac:dyDescent="0.4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  <c r="P433" s="1" t="str">
        <f t="shared" si="9"/>
        <v>6-2-2022</v>
      </c>
    </row>
    <row r="434" spans="1:16" x14ac:dyDescent="0.4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  <c r="P434" s="1" t="str">
        <f t="shared" si="9"/>
        <v>6-2-2022</v>
      </c>
    </row>
    <row r="435" spans="1:16" x14ac:dyDescent="0.4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  <c r="P435" s="1" t="str">
        <f t="shared" si="9"/>
        <v>6-2-2022</v>
      </c>
    </row>
    <row r="436" spans="1:16" x14ac:dyDescent="0.4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  <c r="P436" s="1" t="str">
        <f t="shared" si="9"/>
        <v>7-2-2022</v>
      </c>
    </row>
    <row r="437" spans="1:16" x14ac:dyDescent="0.4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  <c r="P437" s="1" t="str">
        <f t="shared" si="9"/>
        <v>7-2-2022</v>
      </c>
    </row>
    <row r="438" spans="1:16" x14ac:dyDescent="0.4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  <c r="P438" s="1" t="str">
        <f t="shared" si="9"/>
        <v>7-2-2022</v>
      </c>
    </row>
    <row r="439" spans="1:16" x14ac:dyDescent="0.4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  <c r="P439" s="1" t="str">
        <f t="shared" si="9"/>
        <v>8-2-2022</v>
      </c>
    </row>
    <row r="440" spans="1:16" x14ac:dyDescent="0.4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  <c r="P440" s="1" t="str">
        <f t="shared" si="9"/>
        <v>8-2-2022</v>
      </c>
    </row>
    <row r="441" spans="1:16" x14ac:dyDescent="0.4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  <c r="P441" s="1" t="str">
        <f t="shared" si="9"/>
        <v>8-2-2022</v>
      </c>
    </row>
    <row r="442" spans="1:16" x14ac:dyDescent="0.4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  <c r="P442" s="1" t="str">
        <f t="shared" si="9"/>
        <v>8-2-2022</v>
      </c>
    </row>
    <row r="443" spans="1:16" x14ac:dyDescent="0.4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  <c r="P443" s="1" t="str">
        <f t="shared" si="9"/>
        <v>9-2-2022</v>
      </c>
    </row>
    <row r="444" spans="1:16" x14ac:dyDescent="0.4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  <c r="P444" s="1" t="str">
        <f t="shared" si="9"/>
        <v>9-2-2022</v>
      </c>
    </row>
    <row r="445" spans="1:16" x14ac:dyDescent="0.4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  <c r="P445" s="1" t="str">
        <f t="shared" si="9"/>
        <v>9-2-2022</v>
      </c>
    </row>
    <row r="446" spans="1:16" x14ac:dyDescent="0.4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  <c r="P446" s="1" t="str">
        <f t="shared" si="9"/>
        <v>10-2-2022</v>
      </c>
    </row>
    <row r="447" spans="1:16" x14ac:dyDescent="0.4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  <c r="P447" s="1" t="str">
        <f t="shared" si="9"/>
        <v>10-2-2022</v>
      </c>
    </row>
    <row r="448" spans="1:16" x14ac:dyDescent="0.4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  <c r="P448" s="1" t="str">
        <f t="shared" si="9"/>
        <v>10-2-2022</v>
      </c>
    </row>
    <row r="449" spans="1:16" x14ac:dyDescent="0.4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  <c r="P449" s="1" t="str">
        <f t="shared" si="9"/>
        <v>11-2-2022</v>
      </c>
    </row>
    <row r="450" spans="1:16" x14ac:dyDescent="0.4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  <c r="P450" s="1" t="str">
        <f t="shared" si="9"/>
        <v>11-2-2022</v>
      </c>
    </row>
    <row r="451" spans="1:16" x14ac:dyDescent="0.4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  <c r="P451" s="1" t="str">
        <f t="shared" ref="P451:P514" si="10">B451&amp;"-"&amp;C451&amp;"-"&amp;D451</f>
        <v>11-2-2022</v>
      </c>
    </row>
    <row r="452" spans="1:16" x14ac:dyDescent="0.4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  <c r="P452" s="1" t="str">
        <f t="shared" si="10"/>
        <v>11-2-2022</v>
      </c>
    </row>
    <row r="453" spans="1:16" x14ac:dyDescent="0.4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  <c r="P453" s="1" t="str">
        <f t="shared" si="10"/>
        <v>12-2-2022</v>
      </c>
    </row>
    <row r="454" spans="1:16" x14ac:dyDescent="0.4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  <c r="P454" s="1" t="str">
        <f t="shared" si="10"/>
        <v>12-2-2022</v>
      </c>
    </row>
    <row r="455" spans="1:16" x14ac:dyDescent="0.4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  <c r="P455" s="1" t="str">
        <f t="shared" si="10"/>
        <v>12-2-2022</v>
      </c>
    </row>
    <row r="456" spans="1:16" x14ac:dyDescent="0.4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  <c r="P456" s="1" t="str">
        <f t="shared" si="10"/>
        <v>12-2-2022</v>
      </c>
    </row>
    <row r="457" spans="1:16" x14ac:dyDescent="0.4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  <c r="P457" s="1" t="str">
        <f t="shared" si="10"/>
        <v>13-2-2022</v>
      </c>
    </row>
    <row r="458" spans="1:16" x14ac:dyDescent="0.4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  <c r="P458" s="1" t="str">
        <f t="shared" si="10"/>
        <v>13-2-2022</v>
      </c>
    </row>
    <row r="459" spans="1:16" x14ac:dyDescent="0.4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  <c r="P459" s="1" t="str">
        <f t="shared" si="10"/>
        <v>13-2-2022</v>
      </c>
    </row>
    <row r="460" spans="1:16" x14ac:dyDescent="0.4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  <c r="P460" s="1" t="str">
        <f t="shared" si="10"/>
        <v>14-2-2022</v>
      </c>
    </row>
    <row r="461" spans="1:16" x14ac:dyDescent="0.4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  <c r="P461" s="1" t="str">
        <f t="shared" si="10"/>
        <v>14-2-2022</v>
      </c>
    </row>
    <row r="462" spans="1:16" x14ac:dyDescent="0.4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  <c r="P462" s="1" t="str">
        <f t="shared" si="10"/>
        <v>14-2-2022</v>
      </c>
    </row>
    <row r="463" spans="1:16" x14ac:dyDescent="0.4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  <c r="P463" s="1" t="str">
        <f t="shared" si="10"/>
        <v>14-2-2022</v>
      </c>
    </row>
    <row r="464" spans="1:16" x14ac:dyDescent="0.4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  <c r="P464" s="1" t="str">
        <f t="shared" si="10"/>
        <v>15-2-2022</v>
      </c>
    </row>
    <row r="465" spans="1:16" x14ac:dyDescent="0.4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  <c r="P465" s="1" t="str">
        <f t="shared" si="10"/>
        <v>15-2-2022</v>
      </c>
    </row>
    <row r="466" spans="1:16" x14ac:dyDescent="0.4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  <c r="P466" s="1" t="str">
        <f t="shared" si="10"/>
        <v>15-2-2022</v>
      </c>
    </row>
    <row r="467" spans="1:16" x14ac:dyDescent="0.4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  <c r="P467" s="1" t="str">
        <f t="shared" si="10"/>
        <v>15-2-2022</v>
      </c>
    </row>
    <row r="468" spans="1:16" x14ac:dyDescent="0.4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  <c r="P468" s="1" t="str">
        <f t="shared" si="10"/>
        <v>16-2-2022</v>
      </c>
    </row>
    <row r="469" spans="1:16" x14ac:dyDescent="0.4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  <c r="P469" s="1" t="str">
        <f t="shared" si="10"/>
        <v>16-2-2022</v>
      </c>
    </row>
    <row r="470" spans="1:16" x14ac:dyDescent="0.4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  <c r="P470" s="1" t="str">
        <f t="shared" si="10"/>
        <v>16-2-2022</v>
      </c>
    </row>
    <row r="471" spans="1:16" x14ac:dyDescent="0.4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  <c r="P471" s="1" t="str">
        <f t="shared" si="10"/>
        <v>16-2-2022</v>
      </c>
    </row>
    <row r="472" spans="1:16" x14ac:dyDescent="0.4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  <c r="P472" s="1" t="str">
        <f t="shared" si="10"/>
        <v>17-2-2022</v>
      </c>
    </row>
    <row r="473" spans="1:16" x14ac:dyDescent="0.4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  <c r="P473" s="1" t="str">
        <f t="shared" si="10"/>
        <v>17-2-2022</v>
      </c>
    </row>
    <row r="474" spans="1:16" x14ac:dyDescent="0.4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  <c r="P474" s="1" t="str">
        <f t="shared" si="10"/>
        <v>17-2-2022</v>
      </c>
    </row>
    <row r="475" spans="1:16" x14ac:dyDescent="0.4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  <c r="P475" s="1" t="str">
        <f t="shared" si="10"/>
        <v>18-2-2022</v>
      </c>
    </row>
    <row r="476" spans="1:16" x14ac:dyDescent="0.4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  <c r="P476" s="1" t="str">
        <f t="shared" si="10"/>
        <v>18-2-2022</v>
      </c>
    </row>
    <row r="477" spans="1:16" x14ac:dyDescent="0.4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  <c r="P477" s="1" t="str">
        <f t="shared" si="10"/>
        <v>18-2-2022</v>
      </c>
    </row>
    <row r="478" spans="1:16" x14ac:dyDescent="0.4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  <c r="P478" s="1" t="str">
        <f t="shared" si="10"/>
        <v>19-2-2022</v>
      </c>
    </row>
    <row r="479" spans="1:16" x14ac:dyDescent="0.4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  <c r="P479" s="1" t="str">
        <f t="shared" si="10"/>
        <v>19-2-2022</v>
      </c>
    </row>
    <row r="480" spans="1:16" x14ac:dyDescent="0.4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  <c r="P480" s="1" t="str">
        <f t="shared" si="10"/>
        <v>19-2-2022</v>
      </c>
    </row>
    <row r="481" spans="1:16" x14ac:dyDescent="0.4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  <c r="P481" s="1" t="str">
        <f t="shared" si="10"/>
        <v>20-2-2022</v>
      </c>
    </row>
    <row r="482" spans="1:16" x14ac:dyDescent="0.4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  <c r="P482" s="1" t="str">
        <f t="shared" si="10"/>
        <v>20-2-2022</v>
      </c>
    </row>
    <row r="483" spans="1:16" x14ac:dyDescent="0.4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  <c r="P483" s="1" t="str">
        <f t="shared" si="10"/>
        <v>20-2-2022</v>
      </c>
    </row>
    <row r="484" spans="1:16" x14ac:dyDescent="0.4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  <c r="P484" s="1" t="str">
        <f t="shared" si="10"/>
        <v>21-2-2022</v>
      </c>
    </row>
    <row r="485" spans="1:16" x14ac:dyDescent="0.4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  <c r="P485" s="1" t="str">
        <f t="shared" si="10"/>
        <v>21-2-2022</v>
      </c>
    </row>
    <row r="486" spans="1:16" x14ac:dyDescent="0.4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  <c r="P486" s="1" t="str">
        <f t="shared" si="10"/>
        <v>21-2-2022</v>
      </c>
    </row>
    <row r="487" spans="1:16" x14ac:dyDescent="0.4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  <c r="P487" s="1" t="str">
        <f t="shared" si="10"/>
        <v>22-2-2022</v>
      </c>
    </row>
    <row r="488" spans="1:16" x14ac:dyDescent="0.4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  <c r="P488" s="1" t="str">
        <f t="shared" si="10"/>
        <v>22-2-2022</v>
      </c>
    </row>
    <row r="489" spans="1:16" x14ac:dyDescent="0.4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  <c r="P489" s="1" t="str">
        <f t="shared" si="10"/>
        <v>22-2-2022</v>
      </c>
    </row>
    <row r="490" spans="1:16" x14ac:dyDescent="0.4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  <c r="P490" s="1" t="str">
        <f t="shared" si="10"/>
        <v>23-2-2022</v>
      </c>
    </row>
    <row r="491" spans="1:16" x14ac:dyDescent="0.4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  <c r="P491" s="1" t="str">
        <f t="shared" si="10"/>
        <v>23-2-2022</v>
      </c>
    </row>
    <row r="492" spans="1:16" x14ac:dyDescent="0.4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  <c r="P492" s="1" t="str">
        <f t="shared" si="10"/>
        <v>23-2-2022</v>
      </c>
    </row>
    <row r="493" spans="1:16" x14ac:dyDescent="0.4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  <c r="P493" s="1" t="str">
        <f t="shared" si="10"/>
        <v>24-2-2022</v>
      </c>
    </row>
    <row r="494" spans="1:16" x14ac:dyDescent="0.4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  <c r="P494" s="1" t="str">
        <f t="shared" si="10"/>
        <v>24-2-2022</v>
      </c>
    </row>
    <row r="495" spans="1:16" x14ac:dyDescent="0.4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  <c r="P495" s="1" t="str">
        <f t="shared" si="10"/>
        <v>24-2-2022</v>
      </c>
    </row>
    <row r="496" spans="1:16" x14ac:dyDescent="0.4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  <c r="P496" s="1" t="str">
        <f t="shared" si="10"/>
        <v>25-2-2022</v>
      </c>
    </row>
    <row r="497" spans="1:16" x14ac:dyDescent="0.4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  <c r="P497" s="1" t="str">
        <f t="shared" si="10"/>
        <v>25-2-2022</v>
      </c>
    </row>
    <row r="498" spans="1:16" x14ac:dyDescent="0.4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  <c r="P498" s="1" t="str">
        <f t="shared" si="10"/>
        <v>25-2-2022</v>
      </c>
    </row>
    <row r="499" spans="1:16" x14ac:dyDescent="0.4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  <c r="P499" s="1" t="str">
        <f t="shared" si="10"/>
        <v>26-2-2022</v>
      </c>
    </row>
    <row r="500" spans="1:16" x14ac:dyDescent="0.4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  <c r="P500" s="1" t="str">
        <f t="shared" si="10"/>
        <v>26-2-2022</v>
      </c>
    </row>
    <row r="501" spans="1:16" x14ac:dyDescent="0.4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  <c r="P501" s="1" t="str">
        <f t="shared" si="10"/>
        <v>26-2-2022</v>
      </c>
    </row>
    <row r="502" spans="1:16" x14ac:dyDescent="0.4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  <c r="P502" s="1" t="str">
        <f t="shared" si="10"/>
        <v>26-2-2022</v>
      </c>
    </row>
    <row r="503" spans="1:16" x14ac:dyDescent="0.4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  <c r="P503" s="1" t="str">
        <f t="shared" si="10"/>
        <v>27-2-2022</v>
      </c>
    </row>
    <row r="504" spans="1:16" x14ac:dyDescent="0.4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  <c r="P504" s="1" t="str">
        <f t="shared" si="10"/>
        <v>27-2-2022</v>
      </c>
    </row>
    <row r="505" spans="1:16" x14ac:dyDescent="0.4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  <c r="P505" s="1" t="str">
        <f t="shared" si="10"/>
        <v>27-2-2022</v>
      </c>
    </row>
    <row r="506" spans="1:16" x14ac:dyDescent="0.4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  <c r="P506" s="1" t="str">
        <f t="shared" si="10"/>
        <v>28-2-2022</v>
      </c>
    </row>
    <row r="507" spans="1:16" x14ac:dyDescent="0.4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  <c r="P507" s="1" t="str">
        <f t="shared" si="10"/>
        <v>28-2-2022</v>
      </c>
    </row>
    <row r="508" spans="1:16" x14ac:dyDescent="0.4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  <c r="P508" s="1" t="str">
        <f t="shared" si="10"/>
        <v>28-2-2022</v>
      </c>
    </row>
    <row r="509" spans="1:16" x14ac:dyDescent="0.4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  <c r="P509" s="1" t="str">
        <f t="shared" si="10"/>
        <v>28-2-2022</v>
      </c>
    </row>
    <row r="510" spans="1:16" x14ac:dyDescent="0.4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  <c r="P510" s="1" t="str">
        <f t="shared" si="10"/>
        <v>1-3-2022</v>
      </c>
    </row>
    <row r="511" spans="1:16" x14ac:dyDescent="0.4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  <c r="P511" s="1" t="str">
        <f t="shared" si="10"/>
        <v>1-3-2022</v>
      </c>
    </row>
    <row r="512" spans="1:16" x14ac:dyDescent="0.4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  <c r="P512" s="1" t="str">
        <f t="shared" si="10"/>
        <v>1-3-2022</v>
      </c>
    </row>
    <row r="513" spans="1:16" x14ac:dyDescent="0.4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  <c r="P513" s="1" t="str">
        <f t="shared" si="10"/>
        <v>1-3-2022</v>
      </c>
    </row>
    <row r="514" spans="1:16" x14ac:dyDescent="0.4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  <c r="P514" s="1" t="str">
        <f t="shared" si="10"/>
        <v>2-3-2022</v>
      </c>
    </row>
    <row r="515" spans="1:16" x14ac:dyDescent="0.4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  <c r="P515" s="1" t="str">
        <f t="shared" ref="P515:P578" si="11">B515&amp;"-"&amp;C515&amp;"-"&amp;D515</f>
        <v>2-3-2022</v>
      </c>
    </row>
    <row r="516" spans="1:16" x14ac:dyDescent="0.4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  <c r="P516" s="1" t="str">
        <f t="shared" si="11"/>
        <v>2-3-2022</v>
      </c>
    </row>
    <row r="517" spans="1:16" x14ac:dyDescent="0.4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  <c r="P517" s="1" t="str">
        <f t="shared" si="11"/>
        <v>2-3-2022</v>
      </c>
    </row>
    <row r="518" spans="1:16" x14ac:dyDescent="0.4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  <c r="P518" s="1" t="str">
        <f t="shared" si="11"/>
        <v>3-3-2022</v>
      </c>
    </row>
    <row r="519" spans="1:16" x14ac:dyDescent="0.4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  <c r="P519" s="1" t="str">
        <f t="shared" si="11"/>
        <v>3-3-2022</v>
      </c>
    </row>
    <row r="520" spans="1:16" x14ac:dyDescent="0.4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  <c r="P520" s="1" t="str">
        <f t="shared" si="11"/>
        <v>3-3-2022</v>
      </c>
    </row>
    <row r="521" spans="1:16" x14ac:dyDescent="0.4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  <c r="P521" s="1" t="str">
        <f t="shared" si="11"/>
        <v>4-3-2022</v>
      </c>
    </row>
    <row r="522" spans="1:16" x14ac:dyDescent="0.4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  <c r="P522" s="1" t="str">
        <f t="shared" si="11"/>
        <v>4-3-2022</v>
      </c>
    </row>
    <row r="523" spans="1:16" x14ac:dyDescent="0.4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  <c r="P523" s="1" t="str">
        <f t="shared" si="11"/>
        <v>4-3-2022</v>
      </c>
    </row>
    <row r="524" spans="1:16" x14ac:dyDescent="0.4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  <c r="P524" s="1" t="str">
        <f t="shared" si="11"/>
        <v>5-3-2022</v>
      </c>
    </row>
    <row r="525" spans="1:16" x14ac:dyDescent="0.4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  <c r="P525" s="1" t="str">
        <f t="shared" si="11"/>
        <v>5-3-2022</v>
      </c>
    </row>
    <row r="526" spans="1:16" x14ac:dyDescent="0.4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  <c r="P526" s="1" t="str">
        <f t="shared" si="11"/>
        <v>5-3-2022</v>
      </c>
    </row>
    <row r="527" spans="1:16" x14ac:dyDescent="0.4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  <c r="P527" s="1" t="str">
        <f t="shared" si="11"/>
        <v>6-3-2022</v>
      </c>
    </row>
    <row r="528" spans="1:16" x14ac:dyDescent="0.4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  <c r="P528" s="1" t="str">
        <f t="shared" si="11"/>
        <v>6-3-2022</v>
      </c>
    </row>
    <row r="529" spans="1:16" x14ac:dyDescent="0.4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  <c r="P529" s="1" t="str">
        <f t="shared" si="11"/>
        <v>6-3-2022</v>
      </c>
    </row>
    <row r="530" spans="1:16" x14ac:dyDescent="0.4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  <c r="P530" s="1" t="str">
        <f t="shared" si="11"/>
        <v>7-3-2022</v>
      </c>
    </row>
    <row r="531" spans="1:16" x14ac:dyDescent="0.4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  <c r="P531" s="1" t="str">
        <f t="shared" si="11"/>
        <v>7-3-2022</v>
      </c>
    </row>
    <row r="532" spans="1:16" x14ac:dyDescent="0.4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  <c r="P532" s="1" t="str">
        <f t="shared" si="11"/>
        <v>7-3-2022</v>
      </c>
    </row>
    <row r="533" spans="1:16" x14ac:dyDescent="0.4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  <c r="P533" s="1" t="str">
        <f t="shared" si="11"/>
        <v>7-3-2022</v>
      </c>
    </row>
    <row r="534" spans="1:16" x14ac:dyDescent="0.4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  <c r="P534" s="1" t="str">
        <f t="shared" si="11"/>
        <v>8-3-2022</v>
      </c>
    </row>
    <row r="535" spans="1:16" x14ac:dyDescent="0.4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  <c r="P535" s="1" t="str">
        <f t="shared" si="11"/>
        <v>8-3-2022</v>
      </c>
    </row>
    <row r="536" spans="1:16" x14ac:dyDescent="0.4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  <c r="P536" s="1" t="str">
        <f t="shared" si="11"/>
        <v>8-3-2022</v>
      </c>
    </row>
    <row r="537" spans="1:16" x14ac:dyDescent="0.4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  <c r="P537" s="1" t="str">
        <f t="shared" si="11"/>
        <v>9-3-2022</v>
      </c>
    </row>
    <row r="538" spans="1:16" x14ac:dyDescent="0.4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  <c r="P538" s="1" t="str">
        <f t="shared" si="11"/>
        <v>9-3-2022</v>
      </c>
    </row>
    <row r="539" spans="1:16" x14ac:dyDescent="0.4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  <c r="P539" s="1" t="str">
        <f t="shared" si="11"/>
        <v>9-3-2022</v>
      </c>
    </row>
    <row r="540" spans="1:16" x14ac:dyDescent="0.4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  <c r="P540" s="1" t="str">
        <f t="shared" si="11"/>
        <v>10-3-2022</v>
      </c>
    </row>
    <row r="541" spans="1:16" x14ac:dyDescent="0.4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  <c r="P541" s="1" t="str">
        <f t="shared" si="11"/>
        <v>10-3-2022</v>
      </c>
    </row>
    <row r="542" spans="1:16" x14ac:dyDescent="0.4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  <c r="P542" s="1" t="str">
        <f t="shared" si="11"/>
        <v>10-3-2022</v>
      </c>
    </row>
    <row r="543" spans="1:16" x14ac:dyDescent="0.4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  <c r="P543" s="1" t="str">
        <f t="shared" si="11"/>
        <v>11-3-2022</v>
      </c>
    </row>
    <row r="544" spans="1:16" x14ac:dyDescent="0.4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  <c r="P544" s="1" t="str">
        <f t="shared" si="11"/>
        <v>11-3-2022</v>
      </c>
    </row>
    <row r="545" spans="1:16" x14ac:dyDescent="0.4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  <c r="P545" s="1" t="str">
        <f t="shared" si="11"/>
        <v>11-3-2022</v>
      </c>
    </row>
    <row r="546" spans="1:16" x14ac:dyDescent="0.4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  <c r="P546" s="1" t="str">
        <f t="shared" si="11"/>
        <v>12-3-2022</v>
      </c>
    </row>
    <row r="547" spans="1:16" x14ac:dyDescent="0.4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  <c r="P547" s="1" t="str">
        <f t="shared" si="11"/>
        <v>12-3-2022</v>
      </c>
    </row>
    <row r="548" spans="1:16" x14ac:dyDescent="0.4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  <c r="P548" s="1" t="str">
        <f t="shared" si="11"/>
        <v>12-3-2022</v>
      </c>
    </row>
    <row r="549" spans="1:16" x14ac:dyDescent="0.4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  <c r="P549" s="1" t="str">
        <f t="shared" si="11"/>
        <v>13-3-2022</v>
      </c>
    </row>
    <row r="550" spans="1:16" x14ac:dyDescent="0.4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  <c r="P550" s="1" t="str">
        <f t="shared" si="11"/>
        <v>13-3-2022</v>
      </c>
    </row>
    <row r="551" spans="1:16" x14ac:dyDescent="0.4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  <c r="P551" s="1" t="str">
        <f t="shared" si="11"/>
        <v>13-3-2022</v>
      </c>
    </row>
    <row r="552" spans="1:16" x14ac:dyDescent="0.4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  <c r="P552" s="1" t="str">
        <f t="shared" si="11"/>
        <v>13-3-2022</v>
      </c>
    </row>
    <row r="553" spans="1:16" x14ac:dyDescent="0.4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  <c r="P553" s="1" t="str">
        <f t="shared" si="11"/>
        <v>14-3-2022</v>
      </c>
    </row>
    <row r="554" spans="1:16" x14ac:dyDescent="0.4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  <c r="P554" s="1" t="str">
        <f t="shared" si="11"/>
        <v>14-3-2022</v>
      </c>
    </row>
    <row r="555" spans="1:16" x14ac:dyDescent="0.4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  <c r="P555" s="1" t="str">
        <f t="shared" si="11"/>
        <v>14-3-2022</v>
      </c>
    </row>
    <row r="556" spans="1:16" x14ac:dyDescent="0.4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  <c r="P556" s="1" t="str">
        <f t="shared" si="11"/>
        <v>15-3-2022</v>
      </c>
    </row>
    <row r="557" spans="1:16" x14ac:dyDescent="0.4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  <c r="P557" s="1" t="str">
        <f t="shared" si="11"/>
        <v>15-3-2022</v>
      </c>
    </row>
    <row r="558" spans="1:16" x14ac:dyDescent="0.4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  <c r="P558" s="1" t="str">
        <f t="shared" si="11"/>
        <v>15-3-2022</v>
      </c>
    </row>
    <row r="559" spans="1:16" x14ac:dyDescent="0.4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  <c r="P559" s="1" t="str">
        <f t="shared" si="11"/>
        <v>15-3-2022</v>
      </c>
    </row>
    <row r="560" spans="1:16" x14ac:dyDescent="0.4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  <c r="P560" s="1" t="str">
        <f t="shared" si="11"/>
        <v>16-3-2022</v>
      </c>
    </row>
    <row r="561" spans="1:16" x14ac:dyDescent="0.4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  <c r="P561" s="1" t="str">
        <f t="shared" si="11"/>
        <v>16-3-2022</v>
      </c>
    </row>
    <row r="562" spans="1:16" x14ac:dyDescent="0.4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  <c r="P562" s="1" t="str">
        <f t="shared" si="11"/>
        <v>16-3-2022</v>
      </c>
    </row>
    <row r="563" spans="1:16" x14ac:dyDescent="0.4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  <c r="P563" s="1" t="str">
        <f t="shared" si="11"/>
        <v>17-3-2022</v>
      </c>
    </row>
    <row r="564" spans="1:16" x14ac:dyDescent="0.4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  <c r="P564" s="1" t="str">
        <f t="shared" si="11"/>
        <v>17-3-2022</v>
      </c>
    </row>
    <row r="565" spans="1:16" x14ac:dyDescent="0.4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  <c r="P565" s="1" t="str">
        <f t="shared" si="11"/>
        <v>17-3-2022</v>
      </c>
    </row>
    <row r="566" spans="1:16" x14ac:dyDescent="0.4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  <c r="P566" s="1" t="str">
        <f t="shared" si="11"/>
        <v>17-3-2022</v>
      </c>
    </row>
    <row r="567" spans="1:16" x14ac:dyDescent="0.4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  <c r="P567" s="1" t="str">
        <f t="shared" si="11"/>
        <v>18-3-2022</v>
      </c>
    </row>
    <row r="568" spans="1:16" x14ac:dyDescent="0.4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  <c r="P568" s="1" t="str">
        <f t="shared" si="11"/>
        <v>18-3-2022</v>
      </c>
    </row>
    <row r="569" spans="1:16" x14ac:dyDescent="0.4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  <c r="P569" s="1" t="str">
        <f t="shared" si="11"/>
        <v>18-3-2022</v>
      </c>
    </row>
    <row r="570" spans="1:16" x14ac:dyDescent="0.4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  <c r="P570" s="1" t="str">
        <f t="shared" si="11"/>
        <v>19-3-2022</v>
      </c>
    </row>
    <row r="571" spans="1:16" x14ac:dyDescent="0.4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  <c r="P571" s="1" t="str">
        <f t="shared" si="11"/>
        <v>19-3-2022</v>
      </c>
    </row>
    <row r="572" spans="1:16" x14ac:dyDescent="0.4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  <c r="P572" s="1" t="str">
        <f t="shared" si="11"/>
        <v>19-3-2022</v>
      </c>
    </row>
    <row r="573" spans="1:16" x14ac:dyDescent="0.4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  <c r="P573" s="1" t="str">
        <f t="shared" si="11"/>
        <v>20-3-2022</v>
      </c>
    </row>
    <row r="574" spans="1:16" x14ac:dyDescent="0.4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  <c r="P574" s="1" t="str">
        <f t="shared" si="11"/>
        <v>20-3-2022</v>
      </c>
    </row>
    <row r="575" spans="1:16" x14ac:dyDescent="0.4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  <c r="P575" s="1" t="str">
        <f t="shared" si="11"/>
        <v>20-3-2022</v>
      </c>
    </row>
    <row r="576" spans="1:16" x14ac:dyDescent="0.4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  <c r="P576" s="1" t="str">
        <f t="shared" si="11"/>
        <v>20-3-2022</v>
      </c>
    </row>
    <row r="577" spans="1:16" x14ac:dyDescent="0.4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  <c r="P577" s="1" t="str">
        <f t="shared" si="11"/>
        <v>21-3-2022</v>
      </c>
    </row>
    <row r="578" spans="1:16" x14ac:dyDescent="0.4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  <c r="P578" s="1" t="str">
        <f t="shared" si="11"/>
        <v>21-3-2022</v>
      </c>
    </row>
    <row r="579" spans="1:16" x14ac:dyDescent="0.4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  <c r="P579" s="1" t="str">
        <f t="shared" ref="P579:P642" si="12">B579&amp;"-"&amp;C579&amp;"-"&amp;D579</f>
        <v>21-3-2022</v>
      </c>
    </row>
    <row r="580" spans="1:16" x14ac:dyDescent="0.4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  <c r="P580" s="1" t="str">
        <f t="shared" si="12"/>
        <v>21-3-2022</v>
      </c>
    </row>
    <row r="581" spans="1:16" x14ac:dyDescent="0.4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  <c r="P581" s="1" t="str">
        <f t="shared" si="12"/>
        <v>22-3-2022</v>
      </c>
    </row>
    <row r="582" spans="1:16" x14ac:dyDescent="0.4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  <c r="P582" s="1" t="str">
        <f t="shared" si="12"/>
        <v>22-3-2022</v>
      </c>
    </row>
    <row r="583" spans="1:16" x14ac:dyDescent="0.4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  <c r="P583" s="1" t="str">
        <f t="shared" si="12"/>
        <v>22-3-2022</v>
      </c>
    </row>
    <row r="584" spans="1:16" x14ac:dyDescent="0.4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  <c r="P584" s="1" t="str">
        <f t="shared" si="12"/>
        <v>22-3-2022</v>
      </c>
    </row>
    <row r="585" spans="1:16" x14ac:dyDescent="0.4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  <c r="P585" s="1" t="str">
        <f t="shared" si="12"/>
        <v>23-3-2022</v>
      </c>
    </row>
    <row r="586" spans="1:16" x14ac:dyDescent="0.4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  <c r="P586" s="1" t="str">
        <f t="shared" si="12"/>
        <v>23-3-2022</v>
      </c>
    </row>
    <row r="587" spans="1:16" x14ac:dyDescent="0.4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  <c r="P587" s="1" t="str">
        <f t="shared" si="12"/>
        <v>23-3-2022</v>
      </c>
    </row>
    <row r="588" spans="1:16" x14ac:dyDescent="0.4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  <c r="P588" s="1" t="str">
        <f t="shared" si="12"/>
        <v>24-3-2022</v>
      </c>
    </row>
    <row r="589" spans="1:16" x14ac:dyDescent="0.4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  <c r="P589" s="1" t="str">
        <f t="shared" si="12"/>
        <v>24-3-2022</v>
      </c>
    </row>
    <row r="590" spans="1:16" x14ac:dyDescent="0.4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  <c r="P590" s="1" t="str">
        <f t="shared" si="12"/>
        <v>24-3-2022</v>
      </c>
    </row>
    <row r="591" spans="1:16" x14ac:dyDescent="0.4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  <c r="P591" s="1" t="str">
        <f t="shared" si="12"/>
        <v>24-3-2022</v>
      </c>
    </row>
    <row r="592" spans="1:16" x14ac:dyDescent="0.4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  <c r="P592" s="1" t="str">
        <f t="shared" si="12"/>
        <v>25-3-2022</v>
      </c>
    </row>
    <row r="593" spans="1:16" x14ac:dyDescent="0.4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  <c r="P593" s="1" t="str">
        <f t="shared" si="12"/>
        <v>25-3-2022</v>
      </c>
    </row>
    <row r="594" spans="1:16" x14ac:dyDescent="0.4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  <c r="P594" s="1" t="str">
        <f t="shared" si="12"/>
        <v>25-3-2022</v>
      </c>
    </row>
    <row r="595" spans="1:16" x14ac:dyDescent="0.4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  <c r="P595" s="1" t="str">
        <f t="shared" si="12"/>
        <v>26-3-2022</v>
      </c>
    </row>
    <row r="596" spans="1:16" x14ac:dyDescent="0.4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  <c r="P596" s="1" t="str">
        <f t="shared" si="12"/>
        <v>26-3-2022</v>
      </c>
    </row>
    <row r="597" spans="1:16" x14ac:dyDescent="0.4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  <c r="P597" s="1" t="str">
        <f t="shared" si="12"/>
        <v>26-3-2022</v>
      </c>
    </row>
    <row r="598" spans="1:16" x14ac:dyDescent="0.4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  <c r="P598" s="1" t="str">
        <f t="shared" si="12"/>
        <v>27-3-2022</v>
      </c>
    </row>
    <row r="599" spans="1:16" x14ac:dyDescent="0.4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  <c r="P599" s="1" t="str">
        <f t="shared" si="12"/>
        <v>27-3-2022</v>
      </c>
    </row>
    <row r="600" spans="1:16" x14ac:dyDescent="0.4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  <c r="P600" s="1" t="str">
        <f t="shared" si="12"/>
        <v>27-3-2022</v>
      </c>
    </row>
    <row r="601" spans="1:16" x14ac:dyDescent="0.4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  <c r="P601" s="1" t="str">
        <f t="shared" si="12"/>
        <v>27-3-2022</v>
      </c>
    </row>
    <row r="602" spans="1:16" x14ac:dyDescent="0.4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  <c r="P602" s="1" t="str">
        <f t="shared" si="12"/>
        <v>28-3-2022</v>
      </c>
    </row>
    <row r="603" spans="1:16" x14ac:dyDescent="0.4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  <c r="P603" s="1" t="str">
        <f t="shared" si="12"/>
        <v>28-3-2022</v>
      </c>
    </row>
    <row r="604" spans="1:16" x14ac:dyDescent="0.4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  <c r="P604" s="1" t="str">
        <f t="shared" si="12"/>
        <v>28-3-2022</v>
      </c>
    </row>
    <row r="605" spans="1:16" x14ac:dyDescent="0.4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  <c r="P605" s="1" t="str">
        <f t="shared" si="12"/>
        <v>28-3-2022</v>
      </c>
    </row>
    <row r="606" spans="1:16" x14ac:dyDescent="0.4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  <c r="P606" s="1" t="str">
        <f t="shared" si="12"/>
        <v>29-3-2022</v>
      </c>
    </row>
    <row r="607" spans="1:16" x14ac:dyDescent="0.4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  <c r="P607" s="1" t="str">
        <f t="shared" si="12"/>
        <v>29-3-2022</v>
      </c>
    </row>
    <row r="608" spans="1:16" x14ac:dyDescent="0.4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  <c r="P608" s="1" t="str">
        <f t="shared" si="12"/>
        <v>29-3-2022</v>
      </c>
    </row>
    <row r="609" spans="1:16" x14ac:dyDescent="0.4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  <c r="P609" s="1" t="str">
        <f t="shared" si="12"/>
        <v>30-3-2022</v>
      </c>
    </row>
    <row r="610" spans="1:16" x14ac:dyDescent="0.4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  <c r="P610" s="1" t="str">
        <f t="shared" si="12"/>
        <v>30-3-2022</v>
      </c>
    </row>
    <row r="611" spans="1:16" x14ac:dyDescent="0.4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  <c r="P611" s="1" t="str">
        <f t="shared" si="12"/>
        <v>30-3-2022</v>
      </c>
    </row>
    <row r="612" spans="1:16" x14ac:dyDescent="0.4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  <c r="P612" s="1" t="str">
        <f t="shared" si="12"/>
        <v>31-3-2022</v>
      </c>
    </row>
    <row r="613" spans="1:16" x14ac:dyDescent="0.4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  <c r="P613" s="1" t="str">
        <f t="shared" si="12"/>
        <v>31-3-2022</v>
      </c>
    </row>
    <row r="614" spans="1:16" x14ac:dyDescent="0.4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  <c r="P614" s="1" t="str">
        <f t="shared" si="12"/>
        <v>31-3-2022</v>
      </c>
    </row>
    <row r="615" spans="1:16" x14ac:dyDescent="0.4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  <c r="P615" s="1" t="str">
        <f t="shared" si="12"/>
        <v>31-3-2022</v>
      </c>
    </row>
    <row r="616" spans="1:16" x14ac:dyDescent="0.4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  <c r="P616" s="1" t="str">
        <f t="shared" si="12"/>
        <v>1-4-2022</v>
      </c>
    </row>
    <row r="617" spans="1:16" x14ac:dyDescent="0.4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  <c r="P617" s="1" t="str">
        <f t="shared" si="12"/>
        <v>1-4-2022</v>
      </c>
    </row>
    <row r="618" spans="1:16" x14ac:dyDescent="0.4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  <c r="P618" s="1" t="str">
        <f t="shared" si="12"/>
        <v>1-4-2022</v>
      </c>
    </row>
    <row r="619" spans="1:16" x14ac:dyDescent="0.4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  <c r="P619" s="1" t="str">
        <f t="shared" si="12"/>
        <v>1-4-2022</v>
      </c>
    </row>
    <row r="620" spans="1:16" x14ac:dyDescent="0.4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  <c r="P620" s="1" t="str">
        <f t="shared" si="12"/>
        <v>2-4-2022</v>
      </c>
    </row>
    <row r="621" spans="1:16" x14ac:dyDescent="0.4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  <c r="P621" s="1" t="str">
        <f t="shared" si="12"/>
        <v>2-4-2022</v>
      </c>
    </row>
    <row r="622" spans="1:16" x14ac:dyDescent="0.4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  <c r="P622" s="1" t="str">
        <f t="shared" si="12"/>
        <v>2-4-2022</v>
      </c>
    </row>
    <row r="623" spans="1:16" x14ac:dyDescent="0.4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  <c r="P623" s="1" t="str">
        <f t="shared" si="12"/>
        <v>2-4-2022</v>
      </c>
    </row>
    <row r="624" spans="1:16" x14ac:dyDescent="0.4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  <c r="P624" s="1" t="str">
        <f t="shared" si="12"/>
        <v>3-4-2022</v>
      </c>
    </row>
    <row r="625" spans="1:16" x14ac:dyDescent="0.4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  <c r="P625" s="1" t="str">
        <f t="shared" si="12"/>
        <v>3-4-2022</v>
      </c>
    </row>
    <row r="626" spans="1:16" x14ac:dyDescent="0.4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  <c r="P626" s="1" t="str">
        <f t="shared" si="12"/>
        <v>3-4-2022</v>
      </c>
    </row>
    <row r="627" spans="1:16" x14ac:dyDescent="0.4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  <c r="P627" s="1" t="str">
        <f t="shared" si="12"/>
        <v>4-4-2022</v>
      </c>
    </row>
    <row r="628" spans="1:16" x14ac:dyDescent="0.4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  <c r="P628" s="1" t="str">
        <f t="shared" si="12"/>
        <v>4-4-2022</v>
      </c>
    </row>
    <row r="629" spans="1:16" x14ac:dyDescent="0.4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  <c r="P629" s="1" t="str">
        <f t="shared" si="12"/>
        <v>4-4-2022</v>
      </c>
    </row>
    <row r="630" spans="1:16" x14ac:dyDescent="0.4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  <c r="P630" s="1" t="str">
        <f t="shared" si="12"/>
        <v>5-4-2022</v>
      </c>
    </row>
    <row r="631" spans="1:16" x14ac:dyDescent="0.4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  <c r="P631" s="1" t="str">
        <f t="shared" si="12"/>
        <v>5-4-2022</v>
      </c>
    </row>
    <row r="632" spans="1:16" x14ac:dyDescent="0.4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  <c r="P632" s="1" t="str">
        <f t="shared" si="12"/>
        <v>5-4-2022</v>
      </c>
    </row>
    <row r="633" spans="1:16" x14ac:dyDescent="0.4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  <c r="P633" s="1" t="str">
        <f t="shared" si="12"/>
        <v>6-4-2022</v>
      </c>
    </row>
    <row r="634" spans="1:16" x14ac:dyDescent="0.4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  <c r="P634" s="1" t="str">
        <f t="shared" si="12"/>
        <v>6-4-2022</v>
      </c>
    </row>
    <row r="635" spans="1:16" x14ac:dyDescent="0.4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  <c r="P635" s="1" t="str">
        <f t="shared" si="12"/>
        <v>6-4-2022</v>
      </c>
    </row>
    <row r="636" spans="1:16" x14ac:dyDescent="0.4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  <c r="P636" s="1" t="str">
        <f t="shared" si="12"/>
        <v>7-4-2022</v>
      </c>
    </row>
    <row r="637" spans="1:16" x14ac:dyDescent="0.4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  <c r="P637" s="1" t="str">
        <f t="shared" si="12"/>
        <v>7-4-2022</v>
      </c>
    </row>
    <row r="638" spans="1:16" x14ac:dyDescent="0.4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  <c r="P638" s="1" t="str">
        <f t="shared" si="12"/>
        <v>7-4-2022</v>
      </c>
    </row>
    <row r="639" spans="1:16" x14ac:dyDescent="0.4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  <c r="P639" s="1" t="str">
        <f t="shared" si="12"/>
        <v>8-4-2022</v>
      </c>
    </row>
    <row r="640" spans="1:16" x14ac:dyDescent="0.4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  <c r="P640" s="1" t="str">
        <f t="shared" si="12"/>
        <v>8-4-2022</v>
      </c>
    </row>
    <row r="641" spans="1:16" x14ac:dyDescent="0.4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  <c r="P641" s="1" t="str">
        <f t="shared" si="12"/>
        <v>8-4-2022</v>
      </c>
    </row>
    <row r="642" spans="1:16" x14ac:dyDescent="0.4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  <c r="P642" s="1" t="str">
        <f t="shared" si="12"/>
        <v>9-4-2022</v>
      </c>
    </row>
    <row r="643" spans="1:16" x14ac:dyDescent="0.4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  <c r="P643" s="1" t="str">
        <f t="shared" ref="P643:P706" si="13">B643&amp;"-"&amp;C643&amp;"-"&amp;D643</f>
        <v>9-4-2022</v>
      </c>
    </row>
    <row r="644" spans="1:16" x14ac:dyDescent="0.4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  <c r="P644" s="1" t="str">
        <f t="shared" si="13"/>
        <v>9-4-2022</v>
      </c>
    </row>
    <row r="645" spans="1:16" x14ac:dyDescent="0.4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  <c r="P645" s="1" t="str">
        <f t="shared" si="13"/>
        <v>9-4-2022</v>
      </c>
    </row>
    <row r="646" spans="1:16" x14ac:dyDescent="0.4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  <c r="P646" s="1" t="str">
        <f t="shared" si="13"/>
        <v>10-4-2022</v>
      </c>
    </row>
    <row r="647" spans="1:16" x14ac:dyDescent="0.4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  <c r="P647" s="1" t="str">
        <f t="shared" si="13"/>
        <v>10-4-2022</v>
      </c>
    </row>
    <row r="648" spans="1:16" x14ac:dyDescent="0.4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  <c r="P648" s="1" t="str">
        <f t="shared" si="13"/>
        <v>10-4-2022</v>
      </c>
    </row>
    <row r="649" spans="1:16" x14ac:dyDescent="0.4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  <c r="P649" s="1" t="str">
        <f t="shared" si="13"/>
        <v>11-4-2022</v>
      </c>
    </row>
    <row r="650" spans="1:16" x14ac:dyDescent="0.4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  <c r="P650" s="1" t="str">
        <f t="shared" si="13"/>
        <v>11-4-2022</v>
      </c>
    </row>
    <row r="651" spans="1:16" x14ac:dyDescent="0.4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  <c r="P651" s="1" t="str">
        <f t="shared" si="13"/>
        <v>11-4-2022</v>
      </c>
    </row>
    <row r="652" spans="1:16" x14ac:dyDescent="0.4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  <c r="P652" s="1" t="str">
        <f t="shared" si="13"/>
        <v>12-4-2022</v>
      </c>
    </row>
    <row r="653" spans="1:16" x14ac:dyDescent="0.4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  <c r="P653" s="1" t="str">
        <f t="shared" si="13"/>
        <v>12-4-2022</v>
      </c>
    </row>
    <row r="654" spans="1:16" x14ac:dyDescent="0.4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  <c r="P654" s="1" t="str">
        <f t="shared" si="13"/>
        <v>12-4-2022</v>
      </c>
    </row>
    <row r="655" spans="1:16" x14ac:dyDescent="0.4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  <c r="P655" s="1" t="str">
        <f t="shared" si="13"/>
        <v>13-4-2022</v>
      </c>
    </row>
    <row r="656" spans="1:16" x14ac:dyDescent="0.4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  <c r="P656" s="1" t="str">
        <f t="shared" si="13"/>
        <v>13-4-2022</v>
      </c>
    </row>
    <row r="657" spans="1:16" x14ac:dyDescent="0.4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  <c r="P657" s="1" t="str">
        <f t="shared" si="13"/>
        <v>13-4-2022</v>
      </c>
    </row>
    <row r="658" spans="1:16" x14ac:dyDescent="0.4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  <c r="P658" s="1" t="str">
        <f t="shared" si="13"/>
        <v>13-4-2022</v>
      </c>
    </row>
    <row r="659" spans="1:16" x14ac:dyDescent="0.4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  <c r="P659" s="1" t="str">
        <f t="shared" si="13"/>
        <v>14-4-2022</v>
      </c>
    </row>
    <row r="660" spans="1:16" x14ac:dyDescent="0.4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  <c r="P660" s="1" t="str">
        <f t="shared" si="13"/>
        <v>14-4-2022</v>
      </c>
    </row>
    <row r="661" spans="1:16" x14ac:dyDescent="0.4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  <c r="P661" s="1" t="str">
        <f t="shared" si="13"/>
        <v>14-4-2022</v>
      </c>
    </row>
    <row r="662" spans="1:16" x14ac:dyDescent="0.4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  <c r="P662" s="1" t="str">
        <f t="shared" si="13"/>
        <v>15-4-2022</v>
      </c>
    </row>
    <row r="663" spans="1:16" x14ac:dyDescent="0.4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  <c r="P663" s="1" t="str">
        <f t="shared" si="13"/>
        <v>15-4-2022</v>
      </c>
    </row>
    <row r="664" spans="1:16" x14ac:dyDescent="0.4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  <c r="P664" s="1" t="str">
        <f t="shared" si="13"/>
        <v>15-4-2022</v>
      </c>
    </row>
    <row r="665" spans="1:16" x14ac:dyDescent="0.4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  <c r="P665" s="1" t="str">
        <f t="shared" si="13"/>
        <v>16-4-2022</v>
      </c>
    </row>
    <row r="666" spans="1:16" x14ac:dyDescent="0.4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  <c r="P666" s="1" t="str">
        <f t="shared" si="13"/>
        <v>16-4-2022</v>
      </c>
    </row>
    <row r="667" spans="1:16" x14ac:dyDescent="0.4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  <c r="P667" s="1" t="str">
        <f t="shared" si="13"/>
        <v>16-4-2022</v>
      </c>
    </row>
    <row r="668" spans="1:16" x14ac:dyDescent="0.4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  <c r="P668" s="1" t="str">
        <f t="shared" si="13"/>
        <v>16-4-2022</v>
      </c>
    </row>
    <row r="669" spans="1:16" x14ac:dyDescent="0.4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  <c r="P669" s="1" t="str">
        <f t="shared" si="13"/>
        <v>17-4-2022</v>
      </c>
    </row>
    <row r="670" spans="1:16" x14ac:dyDescent="0.4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  <c r="P670" s="1" t="str">
        <f t="shared" si="13"/>
        <v>17-4-2022</v>
      </c>
    </row>
    <row r="671" spans="1:16" x14ac:dyDescent="0.4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  <c r="P671" s="1" t="str">
        <f t="shared" si="13"/>
        <v>17-4-2022</v>
      </c>
    </row>
    <row r="672" spans="1:16" x14ac:dyDescent="0.4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  <c r="P672" s="1" t="str">
        <f t="shared" si="13"/>
        <v>18-4-2022</v>
      </c>
    </row>
    <row r="673" spans="1:16" x14ac:dyDescent="0.4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  <c r="P673" s="1" t="str">
        <f t="shared" si="13"/>
        <v>18-4-2022</v>
      </c>
    </row>
    <row r="674" spans="1:16" x14ac:dyDescent="0.4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  <c r="P674" s="1" t="str">
        <f t="shared" si="13"/>
        <v>18-4-2022</v>
      </c>
    </row>
    <row r="675" spans="1:16" x14ac:dyDescent="0.4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  <c r="P675" s="1" t="str">
        <f t="shared" si="13"/>
        <v>19-4-2022</v>
      </c>
    </row>
    <row r="676" spans="1:16" x14ac:dyDescent="0.4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  <c r="P676" s="1" t="str">
        <f t="shared" si="13"/>
        <v>19-4-2022</v>
      </c>
    </row>
    <row r="677" spans="1:16" x14ac:dyDescent="0.4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  <c r="P677" s="1" t="str">
        <f t="shared" si="13"/>
        <v>19-4-2022</v>
      </c>
    </row>
    <row r="678" spans="1:16" x14ac:dyDescent="0.4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  <c r="P678" s="1" t="str">
        <f t="shared" si="13"/>
        <v>20-4-2022</v>
      </c>
    </row>
    <row r="679" spans="1:16" x14ac:dyDescent="0.4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  <c r="P679" s="1" t="str">
        <f t="shared" si="13"/>
        <v>20-4-2022</v>
      </c>
    </row>
    <row r="680" spans="1:16" x14ac:dyDescent="0.4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  <c r="P680" s="1" t="str">
        <f t="shared" si="13"/>
        <v>20-4-2022</v>
      </c>
    </row>
    <row r="681" spans="1:16" x14ac:dyDescent="0.4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  <c r="P681" s="1" t="str">
        <f t="shared" si="13"/>
        <v>21-4-2022</v>
      </c>
    </row>
    <row r="682" spans="1:16" x14ac:dyDescent="0.4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  <c r="P682" s="1" t="str">
        <f t="shared" si="13"/>
        <v>21-4-2022</v>
      </c>
    </row>
    <row r="683" spans="1:16" x14ac:dyDescent="0.4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  <c r="P683" s="1" t="str">
        <f t="shared" si="13"/>
        <v>21-4-2022</v>
      </c>
    </row>
    <row r="684" spans="1:16" x14ac:dyDescent="0.4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  <c r="P684" s="1" t="str">
        <f t="shared" si="13"/>
        <v>22-4-2022</v>
      </c>
    </row>
    <row r="685" spans="1:16" x14ac:dyDescent="0.4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  <c r="P685" s="1" t="str">
        <f t="shared" si="13"/>
        <v>22-4-2022</v>
      </c>
    </row>
    <row r="686" spans="1:16" x14ac:dyDescent="0.4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  <c r="P686" s="1" t="str">
        <f t="shared" si="13"/>
        <v>22-4-2022</v>
      </c>
    </row>
    <row r="687" spans="1:16" x14ac:dyDescent="0.4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  <c r="P687" s="1" t="str">
        <f t="shared" si="13"/>
        <v>22-4-2022</v>
      </c>
    </row>
    <row r="688" spans="1:16" x14ac:dyDescent="0.4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  <c r="P688" s="1" t="str">
        <f t="shared" si="13"/>
        <v>23-4-2022</v>
      </c>
    </row>
    <row r="689" spans="1:16" x14ac:dyDescent="0.4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  <c r="P689" s="1" t="str">
        <f t="shared" si="13"/>
        <v>23-4-2022</v>
      </c>
    </row>
    <row r="690" spans="1:16" x14ac:dyDescent="0.4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  <c r="P690" s="1" t="str">
        <f t="shared" si="13"/>
        <v>23-4-2022</v>
      </c>
    </row>
    <row r="691" spans="1:16" x14ac:dyDescent="0.4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  <c r="P691" s="1" t="str">
        <f t="shared" si="13"/>
        <v>23-4-2022</v>
      </c>
    </row>
    <row r="692" spans="1:16" x14ac:dyDescent="0.4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  <c r="P692" s="1" t="str">
        <f t="shared" si="13"/>
        <v>24-4-2022</v>
      </c>
    </row>
    <row r="693" spans="1:16" x14ac:dyDescent="0.4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  <c r="P693" s="1" t="str">
        <f t="shared" si="13"/>
        <v>24-4-2022</v>
      </c>
    </row>
    <row r="694" spans="1:16" x14ac:dyDescent="0.4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  <c r="P694" s="1" t="str">
        <f t="shared" si="13"/>
        <v>24-4-2022</v>
      </c>
    </row>
    <row r="695" spans="1:16" x14ac:dyDescent="0.4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  <c r="P695" s="1" t="str">
        <f t="shared" si="13"/>
        <v>24-4-2022</v>
      </c>
    </row>
    <row r="696" spans="1:16" x14ac:dyDescent="0.4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  <c r="P696" s="1" t="str">
        <f t="shared" si="13"/>
        <v>25-4-2022</v>
      </c>
    </row>
    <row r="697" spans="1:16" x14ac:dyDescent="0.4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  <c r="P697" s="1" t="str">
        <f t="shared" si="13"/>
        <v>25-4-2022</v>
      </c>
    </row>
    <row r="698" spans="1:16" x14ac:dyDescent="0.4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  <c r="P698" s="1" t="str">
        <f t="shared" si="13"/>
        <v>25-4-2022</v>
      </c>
    </row>
    <row r="699" spans="1:16" x14ac:dyDescent="0.4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  <c r="P699" s="1" t="str">
        <f t="shared" si="13"/>
        <v>26-4-2022</v>
      </c>
    </row>
    <row r="700" spans="1:16" x14ac:dyDescent="0.4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  <c r="P700" s="1" t="str">
        <f t="shared" si="13"/>
        <v>26-4-2022</v>
      </c>
    </row>
    <row r="701" spans="1:16" x14ac:dyDescent="0.4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  <c r="P701" s="1" t="str">
        <f t="shared" si="13"/>
        <v>26-4-2022</v>
      </c>
    </row>
    <row r="702" spans="1:16" x14ac:dyDescent="0.4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  <c r="P702" s="1" t="str">
        <f t="shared" si="13"/>
        <v>27-4-2022</v>
      </c>
    </row>
    <row r="703" spans="1:16" x14ac:dyDescent="0.4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  <c r="P703" s="1" t="str">
        <f t="shared" si="13"/>
        <v>27-4-2022</v>
      </c>
    </row>
    <row r="704" spans="1:16" x14ac:dyDescent="0.4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  <c r="P704" s="1" t="str">
        <f t="shared" si="13"/>
        <v>27-4-2022</v>
      </c>
    </row>
    <row r="705" spans="1:16" x14ac:dyDescent="0.4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  <c r="P705" s="1" t="str">
        <f t="shared" si="13"/>
        <v>28-4-2022</v>
      </c>
    </row>
    <row r="706" spans="1:16" x14ac:dyDescent="0.4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  <c r="P706" s="1" t="str">
        <f t="shared" si="13"/>
        <v>28-4-2022</v>
      </c>
    </row>
    <row r="707" spans="1:16" x14ac:dyDescent="0.4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  <c r="P707" s="1" t="str">
        <f t="shared" ref="P707:P770" si="14">B707&amp;"-"&amp;C707&amp;"-"&amp;D707</f>
        <v>28-4-2022</v>
      </c>
    </row>
    <row r="708" spans="1:16" x14ac:dyDescent="0.4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  <c r="P708" s="1" t="str">
        <f t="shared" si="14"/>
        <v>28-4-2022</v>
      </c>
    </row>
    <row r="709" spans="1:16" x14ac:dyDescent="0.4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  <c r="P709" s="1" t="str">
        <f t="shared" si="14"/>
        <v>29-4-2022</v>
      </c>
    </row>
    <row r="710" spans="1:16" x14ac:dyDescent="0.4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  <c r="P710" s="1" t="str">
        <f t="shared" si="14"/>
        <v>29-4-2022</v>
      </c>
    </row>
    <row r="711" spans="1:16" x14ac:dyDescent="0.4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  <c r="P711" s="1" t="str">
        <f t="shared" si="14"/>
        <v>29-4-2022</v>
      </c>
    </row>
    <row r="712" spans="1:16" x14ac:dyDescent="0.4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  <c r="P712" s="1" t="str">
        <f t="shared" si="14"/>
        <v>30-4-2022</v>
      </c>
    </row>
    <row r="713" spans="1:16" x14ac:dyDescent="0.4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  <c r="P713" s="1" t="str">
        <f t="shared" si="14"/>
        <v>30-4-2022</v>
      </c>
    </row>
    <row r="714" spans="1:16" x14ac:dyDescent="0.4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  <c r="P714" s="1" t="str">
        <f t="shared" si="14"/>
        <v>30-4-2022</v>
      </c>
    </row>
    <row r="715" spans="1:16" x14ac:dyDescent="0.4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  <c r="P715" s="1" t="str">
        <f t="shared" si="14"/>
        <v>1-5-2022</v>
      </c>
    </row>
    <row r="716" spans="1:16" x14ac:dyDescent="0.4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  <c r="P716" s="1" t="str">
        <f t="shared" si="14"/>
        <v>1-5-2022</v>
      </c>
    </row>
    <row r="717" spans="1:16" x14ac:dyDescent="0.4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  <c r="P717" s="1" t="str">
        <f t="shared" si="14"/>
        <v>1-5-2022</v>
      </c>
    </row>
    <row r="718" spans="1:16" x14ac:dyDescent="0.4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  <c r="P718" s="1" t="str">
        <f t="shared" si="14"/>
        <v>1-5-2022</v>
      </c>
    </row>
    <row r="719" spans="1:16" x14ac:dyDescent="0.4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  <c r="P719" s="1" t="str">
        <f t="shared" si="14"/>
        <v>2-5-2022</v>
      </c>
    </row>
    <row r="720" spans="1:16" x14ac:dyDescent="0.4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  <c r="P720" s="1" t="str">
        <f t="shared" si="14"/>
        <v>2-5-2022</v>
      </c>
    </row>
    <row r="721" spans="1:16" x14ac:dyDescent="0.4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  <c r="P721" s="1" t="str">
        <f t="shared" si="14"/>
        <v>2-5-2022</v>
      </c>
    </row>
    <row r="722" spans="1:16" x14ac:dyDescent="0.4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  <c r="P722" s="1" t="str">
        <f t="shared" si="14"/>
        <v>3-5-2022</v>
      </c>
    </row>
    <row r="723" spans="1:16" x14ac:dyDescent="0.4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  <c r="P723" s="1" t="str">
        <f t="shared" si="14"/>
        <v>3-5-2022</v>
      </c>
    </row>
    <row r="724" spans="1:16" x14ac:dyDescent="0.4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  <c r="P724" s="1" t="str">
        <f t="shared" si="14"/>
        <v>3-5-2022</v>
      </c>
    </row>
    <row r="725" spans="1:16" x14ac:dyDescent="0.4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  <c r="P725" s="1" t="str">
        <f t="shared" si="14"/>
        <v>3-5-2022</v>
      </c>
    </row>
    <row r="726" spans="1:16" x14ac:dyDescent="0.4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  <c r="P726" s="1" t="str">
        <f t="shared" si="14"/>
        <v>4-5-2022</v>
      </c>
    </row>
    <row r="727" spans="1:16" x14ac:dyDescent="0.4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  <c r="P727" s="1" t="str">
        <f t="shared" si="14"/>
        <v>4-5-2022</v>
      </c>
    </row>
    <row r="728" spans="1:16" x14ac:dyDescent="0.4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  <c r="P728" s="1" t="str">
        <f t="shared" si="14"/>
        <v>4-5-2022</v>
      </c>
    </row>
    <row r="729" spans="1:16" x14ac:dyDescent="0.4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  <c r="P729" s="1" t="str">
        <f t="shared" si="14"/>
        <v>4-5-2022</v>
      </c>
    </row>
    <row r="730" spans="1:16" x14ac:dyDescent="0.4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  <c r="P730" s="1" t="str">
        <f t="shared" si="14"/>
        <v>5-5-2022</v>
      </c>
    </row>
    <row r="731" spans="1:16" x14ac:dyDescent="0.4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  <c r="P731" s="1" t="str">
        <f t="shared" si="14"/>
        <v>5-5-2022</v>
      </c>
    </row>
    <row r="732" spans="1:16" x14ac:dyDescent="0.4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  <c r="P732" s="1" t="str">
        <f t="shared" si="14"/>
        <v>5-5-2022</v>
      </c>
    </row>
    <row r="733" spans="1:16" x14ac:dyDescent="0.4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  <c r="P733" s="1" t="str">
        <f t="shared" si="14"/>
        <v>5-5-2022</v>
      </c>
    </row>
    <row r="734" spans="1:16" x14ac:dyDescent="0.4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  <c r="P734" s="1" t="str">
        <f t="shared" si="14"/>
        <v>6-5-2022</v>
      </c>
    </row>
    <row r="735" spans="1:16" x14ac:dyDescent="0.4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  <c r="P735" s="1" t="str">
        <f t="shared" si="14"/>
        <v>6-5-2022</v>
      </c>
    </row>
    <row r="736" spans="1:16" x14ac:dyDescent="0.4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  <c r="P736" s="1" t="str">
        <f t="shared" si="14"/>
        <v>6-5-2022</v>
      </c>
    </row>
    <row r="737" spans="1:16" x14ac:dyDescent="0.4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  <c r="P737" s="1" t="str">
        <f t="shared" si="14"/>
        <v>7-5-2022</v>
      </c>
    </row>
    <row r="738" spans="1:16" x14ac:dyDescent="0.4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  <c r="P738" s="1" t="str">
        <f t="shared" si="14"/>
        <v>7-5-2022</v>
      </c>
    </row>
    <row r="739" spans="1:16" x14ac:dyDescent="0.4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  <c r="P739" s="1" t="str">
        <f t="shared" si="14"/>
        <v>7-5-2022</v>
      </c>
    </row>
    <row r="740" spans="1:16" x14ac:dyDescent="0.4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  <c r="P740" s="1" t="str">
        <f t="shared" si="14"/>
        <v>8-5-2022</v>
      </c>
    </row>
    <row r="741" spans="1:16" x14ac:dyDescent="0.4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  <c r="P741" s="1" t="str">
        <f t="shared" si="14"/>
        <v>8-5-2022</v>
      </c>
    </row>
    <row r="742" spans="1:16" x14ac:dyDescent="0.4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  <c r="P742" s="1" t="str">
        <f t="shared" si="14"/>
        <v>8-5-2022</v>
      </c>
    </row>
    <row r="743" spans="1:16" x14ac:dyDescent="0.4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  <c r="P743" s="1" t="str">
        <f t="shared" si="14"/>
        <v>9-5-2022</v>
      </c>
    </row>
    <row r="744" spans="1:16" x14ac:dyDescent="0.4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  <c r="P744" s="1" t="str">
        <f t="shared" si="14"/>
        <v>9-5-2022</v>
      </c>
    </row>
    <row r="745" spans="1:16" x14ac:dyDescent="0.4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  <c r="P745" s="1" t="str">
        <f t="shared" si="14"/>
        <v>9-5-2022</v>
      </c>
    </row>
    <row r="746" spans="1:16" x14ac:dyDescent="0.4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  <c r="P746" s="1" t="str">
        <f t="shared" si="14"/>
        <v>10-5-2022</v>
      </c>
    </row>
    <row r="747" spans="1:16" x14ac:dyDescent="0.4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  <c r="P747" s="1" t="str">
        <f t="shared" si="14"/>
        <v>10-5-2022</v>
      </c>
    </row>
    <row r="748" spans="1:16" x14ac:dyDescent="0.4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  <c r="P748" s="1" t="str">
        <f t="shared" si="14"/>
        <v>10-5-2022</v>
      </c>
    </row>
    <row r="749" spans="1:16" x14ac:dyDescent="0.4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  <c r="P749" s="1" t="str">
        <f t="shared" si="14"/>
        <v>11-5-2022</v>
      </c>
    </row>
    <row r="750" spans="1:16" x14ac:dyDescent="0.4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  <c r="P750" s="1" t="str">
        <f t="shared" si="14"/>
        <v>11-5-2022</v>
      </c>
    </row>
    <row r="751" spans="1:16" x14ac:dyDescent="0.4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  <c r="P751" s="1" t="str">
        <f t="shared" si="14"/>
        <v>11-5-2022</v>
      </c>
    </row>
    <row r="752" spans="1:16" x14ac:dyDescent="0.4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  <c r="P752" s="1" t="str">
        <f t="shared" si="14"/>
        <v>12-5-2022</v>
      </c>
    </row>
    <row r="753" spans="1:16" x14ac:dyDescent="0.4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  <c r="P753" s="1" t="str">
        <f t="shared" si="14"/>
        <v>12-5-2022</v>
      </c>
    </row>
    <row r="754" spans="1:16" x14ac:dyDescent="0.4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  <c r="P754" s="1" t="str">
        <f t="shared" si="14"/>
        <v>12-5-2022</v>
      </c>
    </row>
    <row r="755" spans="1:16" x14ac:dyDescent="0.4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  <c r="P755" s="1" t="str">
        <f t="shared" si="14"/>
        <v>13-5-2022</v>
      </c>
    </row>
    <row r="756" spans="1:16" x14ac:dyDescent="0.4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  <c r="P756" s="1" t="str">
        <f t="shared" si="14"/>
        <v>13-5-2022</v>
      </c>
    </row>
    <row r="757" spans="1:16" x14ac:dyDescent="0.4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  <c r="P757" s="1" t="str">
        <f t="shared" si="14"/>
        <v>13-5-2022</v>
      </c>
    </row>
    <row r="758" spans="1:16" x14ac:dyDescent="0.4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  <c r="P758" s="1" t="str">
        <f t="shared" si="14"/>
        <v>13-5-2022</v>
      </c>
    </row>
    <row r="759" spans="1:16" x14ac:dyDescent="0.4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  <c r="P759" s="1" t="str">
        <f t="shared" si="14"/>
        <v>14-5-2022</v>
      </c>
    </row>
    <row r="760" spans="1:16" x14ac:dyDescent="0.4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  <c r="P760" s="1" t="str">
        <f t="shared" si="14"/>
        <v>14-5-2022</v>
      </c>
    </row>
    <row r="761" spans="1:16" x14ac:dyDescent="0.4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  <c r="P761" s="1" t="str">
        <f t="shared" si="14"/>
        <v>14-5-2022</v>
      </c>
    </row>
    <row r="762" spans="1:16" x14ac:dyDescent="0.4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  <c r="P762" s="1" t="str">
        <f t="shared" si="14"/>
        <v>15-5-2022</v>
      </c>
    </row>
    <row r="763" spans="1:16" x14ac:dyDescent="0.4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  <c r="P763" s="1" t="str">
        <f t="shared" si="14"/>
        <v>15-5-2022</v>
      </c>
    </row>
    <row r="764" spans="1:16" x14ac:dyDescent="0.4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  <c r="P764" s="1" t="str">
        <f t="shared" si="14"/>
        <v>15-5-2022</v>
      </c>
    </row>
    <row r="765" spans="1:16" x14ac:dyDescent="0.4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  <c r="P765" s="1" t="str">
        <f t="shared" si="14"/>
        <v>15-5-2022</v>
      </c>
    </row>
    <row r="766" spans="1:16" x14ac:dyDescent="0.4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  <c r="P766" s="1" t="str">
        <f t="shared" si="14"/>
        <v>16-5-2022</v>
      </c>
    </row>
    <row r="767" spans="1:16" x14ac:dyDescent="0.4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  <c r="P767" s="1" t="str">
        <f t="shared" si="14"/>
        <v>16-5-2022</v>
      </c>
    </row>
    <row r="768" spans="1:16" x14ac:dyDescent="0.4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  <c r="P768" s="1" t="str">
        <f t="shared" si="14"/>
        <v>16-5-2022</v>
      </c>
    </row>
    <row r="769" spans="1:16" x14ac:dyDescent="0.4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  <c r="P769" s="1" t="str">
        <f t="shared" si="14"/>
        <v>17-5-2022</v>
      </c>
    </row>
    <row r="770" spans="1:16" x14ac:dyDescent="0.4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  <c r="P770" s="1" t="str">
        <f t="shared" si="14"/>
        <v>17-5-2022</v>
      </c>
    </row>
    <row r="771" spans="1:16" x14ac:dyDescent="0.4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  <c r="P771" s="1" t="str">
        <f t="shared" ref="P771:P834" si="15">B771&amp;"-"&amp;C771&amp;"-"&amp;D771</f>
        <v>17-5-2022</v>
      </c>
    </row>
    <row r="772" spans="1:16" x14ac:dyDescent="0.4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  <c r="P772" s="1" t="str">
        <f t="shared" si="15"/>
        <v>18-5-2022</v>
      </c>
    </row>
    <row r="773" spans="1:16" x14ac:dyDescent="0.4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  <c r="P773" s="1" t="str">
        <f t="shared" si="15"/>
        <v>18-5-2022</v>
      </c>
    </row>
    <row r="774" spans="1:16" x14ac:dyDescent="0.4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  <c r="P774" s="1" t="str">
        <f t="shared" si="15"/>
        <v>18-5-2022</v>
      </c>
    </row>
    <row r="775" spans="1:16" x14ac:dyDescent="0.4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  <c r="P775" s="1" t="str">
        <f t="shared" si="15"/>
        <v>19-5-2022</v>
      </c>
    </row>
    <row r="776" spans="1:16" x14ac:dyDescent="0.4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  <c r="P776" s="1" t="str">
        <f t="shared" si="15"/>
        <v>19-5-2022</v>
      </c>
    </row>
    <row r="777" spans="1:16" x14ac:dyDescent="0.4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  <c r="P777" s="1" t="str">
        <f t="shared" si="15"/>
        <v>19-5-2022</v>
      </c>
    </row>
    <row r="778" spans="1:16" x14ac:dyDescent="0.4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  <c r="P778" s="1" t="str">
        <f t="shared" si="15"/>
        <v>19-5-2022</v>
      </c>
    </row>
    <row r="779" spans="1:16" x14ac:dyDescent="0.4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  <c r="P779" s="1" t="str">
        <f t="shared" si="15"/>
        <v>20-5-2022</v>
      </c>
    </row>
    <row r="780" spans="1:16" x14ac:dyDescent="0.4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  <c r="P780" s="1" t="str">
        <f t="shared" si="15"/>
        <v>20-5-2022</v>
      </c>
    </row>
    <row r="781" spans="1:16" x14ac:dyDescent="0.4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  <c r="P781" s="1" t="str">
        <f t="shared" si="15"/>
        <v>20-5-2022</v>
      </c>
    </row>
    <row r="782" spans="1:16" x14ac:dyDescent="0.4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  <c r="P782" s="1" t="str">
        <f t="shared" si="15"/>
        <v>20-5-2022</v>
      </c>
    </row>
    <row r="783" spans="1:16" x14ac:dyDescent="0.4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  <c r="P783" s="1" t="str">
        <f t="shared" si="15"/>
        <v>21-5-2022</v>
      </c>
    </row>
    <row r="784" spans="1:16" x14ac:dyDescent="0.4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  <c r="P784" s="1" t="str">
        <f t="shared" si="15"/>
        <v>21-5-2022</v>
      </c>
    </row>
    <row r="785" spans="1:16" x14ac:dyDescent="0.4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  <c r="P785" s="1" t="str">
        <f t="shared" si="15"/>
        <v>21-5-2022</v>
      </c>
    </row>
    <row r="786" spans="1:16" x14ac:dyDescent="0.4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  <c r="P786" s="1" t="str">
        <f t="shared" si="15"/>
        <v>21-5-2022</v>
      </c>
    </row>
    <row r="787" spans="1:16" x14ac:dyDescent="0.4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  <c r="P787" s="1" t="str">
        <f t="shared" si="15"/>
        <v>22-5-2022</v>
      </c>
    </row>
    <row r="788" spans="1:16" x14ac:dyDescent="0.4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  <c r="P788" s="1" t="str">
        <f t="shared" si="15"/>
        <v>22-5-2022</v>
      </c>
    </row>
    <row r="789" spans="1:16" x14ac:dyDescent="0.4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  <c r="P789" s="1" t="str">
        <f t="shared" si="15"/>
        <v>22-5-2022</v>
      </c>
    </row>
    <row r="790" spans="1:16" x14ac:dyDescent="0.4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  <c r="P790" s="1" t="str">
        <f t="shared" si="15"/>
        <v>22-5-2022</v>
      </c>
    </row>
    <row r="791" spans="1:16" x14ac:dyDescent="0.4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  <c r="P791" s="1" t="str">
        <f t="shared" si="15"/>
        <v>23-5-2022</v>
      </c>
    </row>
    <row r="792" spans="1:16" x14ac:dyDescent="0.4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  <c r="P792" s="1" t="str">
        <f t="shared" si="15"/>
        <v>23-5-2022</v>
      </c>
    </row>
    <row r="793" spans="1:16" x14ac:dyDescent="0.4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  <c r="P793" s="1" t="str">
        <f t="shared" si="15"/>
        <v>23-5-2022</v>
      </c>
    </row>
    <row r="794" spans="1:16" x14ac:dyDescent="0.4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  <c r="P794" s="1" t="str">
        <f t="shared" si="15"/>
        <v>24-5-2022</v>
      </c>
    </row>
    <row r="795" spans="1:16" x14ac:dyDescent="0.4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  <c r="P795" s="1" t="str">
        <f t="shared" si="15"/>
        <v>24-5-2022</v>
      </c>
    </row>
    <row r="796" spans="1:16" x14ac:dyDescent="0.4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  <c r="P796" s="1" t="str">
        <f t="shared" si="15"/>
        <v>24-5-2022</v>
      </c>
    </row>
    <row r="797" spans="1:16" x14ac:dyDescent="0.4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  <c r="P797" s="1" t="str">
        <f t="shared" si="15"/>
        <v>24-5-2022</v>
      </c>
    </row>
    <row r="798" spans="1:16" x14ac:dyDescent="0.4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  <c r="P798" s="1" t="str">
        <f t="shared" si="15"/>
        <v>25-5-2022</v>
      </c>
    </row>
    <row r="799" spans="1:16" x14ac:dyDescent="0.4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  <c r="P799" s="1" t="str">
        <f t="shared" si="15"/>
        <v>25-5-2022</v>
      </c>
    </row>
    <row r="800" spans="1:16" x14ac:dyDescent="0.4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  <c r="P800" s="1" t="str">
        <f t="shared" si="15"/>
        <v>25-5-2022</v>
      </c>
    </row>
    <row r="801" spans="1:16" x14ac:dyDescent="0.4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  <c r="P801" s="1" t="str">
        <f t="shared" si="15"/>
        <v>26-5-2022</v>
      </c>
    </row>
    <row r="802" spans="1:16" x14ac:dyDescent="0.4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  <c r="P802" s="1" t="str">
        <f t="shared" si="15"/>
        <v>26-5-2022</v>
      </c>
    </row>
    <row r="803" spans="1:16" x14ac:dyDescent="0.4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  <c r="P803" s="1" t="str">
        <f t="shared" si="15"/>
        <v>26-5-2022</v>
      </c>
    </row>
    <row r="804" spans="1:16" x14ac:dyDescent="0.4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  <c r="P804" s="1" t="str">
        <f t="shared" si="15"/>
        <v>27-5-2022</v>
      </c>
    </row>
    <row r="805" spans="1:16" x14ac:dyDescent="0.4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  <c r="P805" s="1" t="str">
        <f t="shared" si="15"/>
        <v>27-5-2022</v>
      </c>
    </row>
    <row r="806" spans="1:16" x14ac:dyDescent="0.4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  <c r="P806" s="1" t="str">
        <f t="shared" si="15"/>
        <v>27-5-2022</v>
      </c>
    </row>
    <row r="807" spans="1:16" x14ac:dyDescent="0.4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  <c r="P807" s="1" t="str">
        <f t="shared" si="15"/>
        <v>27-5-2022</v>
      </c>
    </row>
    <row r="808" spans="1:16" x14ac:dyDescent="0.4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  <c r="P808" s="1" t="str">
        <f t="shared" si="15"/>
        <v>28-5-2022</v>
      </c>
    </row>
    <row r="809" spans="1:16" x14ac:dyDescent="0.4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  <c r="P809" s="1" t="str">
        <f t="shared" si="15"/>
        <v>28-5-2022</v>
      </c>
    </row>
    <row r="810" spans="1:16" x14ac:dyDescent="0.4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  <c r="P810" s="1" t="str">
        <f t="shared" si="15"/>
        <v>28-5-2022</v>
      </c>
    </row>
    <row r="811" spans="1:16" x14ac:dyDescent="0.4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  <c r="P811" s="1" t="str">
        <f t="shared" si="15"/>
        <v>28-5-2022</v>
      </c>
    </row>
    <row r="812" spans="1:16" x14ac:dyDescent="0.4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  <c r="P812" s="1" t="str">
        <f t="shared" si="15"/>
        <v>29-5-2022</v>
      </c>
    </row>
    <row r="813" spans="1:16" x14ac:dyDescent="0.4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  <c r="P813" s="1" t="str">
        <f t="shared" si="15"/>
        <v>29-5-2022</v>
      </c>
    </row>
    <row r="814" spans="1:16" x14ac:dyDescent="0.4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  <c r="P814" s="1" t="str">
        <f t="shared" si="15"/>
        <v>29-5-2022</v>
      </c>
    </row>
    <row r="815" spans="1:16" x14ac:dyDescent="0.4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  <c r="P815" s="1" t="str">
        <f t="shared" si="15"/>
        <v>29-5-2022</v>
      </c>
    </row>
    <row r="816" spans="1:16" x14ac:dyDescent="0.4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  <c r="P816" s="1" t="str">
        <f t="shared" si="15"/>
        <v>30-5-2022</v>
      </c>
    </row>
    <row r="817" spans="1:16" x14ac:dyDescent="0.4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  <c r="P817" s="1" t="str">
        <f t="shared" si="15"/>
        <v>30-5-2022</v>
      </c>
    </row>
    <row r="818" spans="1:16" x14ac:dyDescent="0.4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  <c r="P818" s="1" t="str">
        <f t="shared" si="15"/>
        <v>30-5-2022</v>
      </c>
    </row>
    <row r="819" spans="1:16" x14ac:dyDescent="0.4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  <c r="P819" s="1" t="str">
        <f t="shared" si="15"/>
        <v>30-5-2022</v>
      </c>
    </row>
    <row r="820" spans="1:16" x14ac:dyDescent="0.4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  <c r="P820" s="1" t="str">
        <f t="shared" si="15"/>
        <v>31-5-2022</v>
      </c>
    </row>
    <row r="821" spans="1:16" x14ac:dyDescent="0.4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  <c r="P821" s="1" t="str">
        <f t="shared" si="15"/>
        <v>31-5-2022</v>
      </c>
    </row>
    <row r="822" spans="1:16" x14ac:dyDescent="0.4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  <c r="P822" s="1" t="str">
        <f t="shared" si="15"/>
        <v>31-5-2022</v>
      </c>
    </row>
    <row r="823" spans="1:16" x14ac:dyDescent="0.4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  <c r="P823" s="1" t="str">
        <f t="shared" si="15"/>
        <v>31-5-2022</v>
      </c>
    </row>
    <row r="824" spans="1:16" x14ac:dyDescent="0.4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  <c r="P824" s="1" t="str">
        <f t="shared" si="15"/>
        <v>1-6-2022</v>
      </c>
    </row>
    <row r="825" spans="1:16" x14ac:dyDescent="0.4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  <c r="P825" s="1" t="str">
        <f t="shared" si="15"/>
        <v>1-6-2022</v>
      </c>
    </row>
    <row r="826" spans="1:16" x14ac:dyDescent="0.4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  <c r="P826" s="1" t="str">
        <f t="shared" si="15"/>
        <v>1-6-2022</v>
      </c>
    </row>
    <row r="827" spans="1:16" x14ac:dyDescent="0.4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  <c r="P827" s="1" t="str">
        <f t="shared" si="15"/>
        <v>1-6-2022</v>
      </c>
    </row>
    <row r="828" spans="1:16" x14ac:dyDescent="0.4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  <c r="P828" s="1" t="str">
        <f t="shared" si="15"/>
        <v>2-6-2022</v>
      </c>
    </row>
    <row r="829" spans="1:16" x14ac:dyDescent="0.4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  <c r="P829" s="1" t="str">
        <f t="shared" si="15"/>
        <v>2-6-2022</v>
      </c>
    </row>
    <row r="830" spans="1:16" x14ac:dyDescent="0.4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  <c r="P830" s="1" t="str">
        <f t="shared" si="15"/>
        <v>2-6-2022</v>
      </c>
    </row>
    <row r="831" spans="1:16" x14ac:dyDescent="0.4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  <c r="P831" s="1" t="str">
        <f t="shared" si="15"/>
        <v>2-6-2022</v>
      </c>
    </row>
    <row r="832" spans="1:16" x14ac:dyDescent="0.4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  <c r="P832" s="1" t="str">
        <f t="shared" si="15"/>
        <v>3-6-2022</v>
      </c>
    </row>
    <row r="833" spans="1:16" x14ac:dyDescent="0.4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  <c r="P833" s="1" t="str">
        <f t="shared" si="15"/>
        <v>3-6-2022</v>
      </c>
    </row>
    <row r="834" spans="1:16" x14ac:dyDescent="0.4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  <c r="P834" s="1" t="str">
        <f t="shared" si="15"/>
        <v>3-6-2022</v>
      </c>
    </row>
    <row r="835" spans="1:16" x14ac:dyDescent="0.4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  <c r="P835" s="1" t="str">
        <f t="shared" ref="P835:P898" si="16">B835&amp;"-"&amp;C835&amp;"-"&amp;D835</f>
        <v>3-6-2022</v>
      </c>
    </row>
    <row r="836" spans="1:16" x14ac:dyDescent="0.4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  <c r="P836" s="1" t="str">
        <f t="shared" si="16"/>
        <v>4-6-2022</v>
      </c>
    </row>
    <row r="837" spans="1:16" x14ac:dyDescent="0.4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  <c r="P837" s="1" t="str">
        <f t="shared" si="16"/>
        <v>4-6-2022</v>
      </c>
    </row>
    <row r="838" spans="1:16" x14ac:dyDescent="0.4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  <c r="P838" s="1" t="str">
        <f t="shared" si="16"/>
        <v>4-6-2022</v>
      </c>
    </row>
    <row r="839" spans="1:16" x14ac:dyDescent="0.4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  <c r="P839" s="1" t="str">
        <f t="shared" si="16"/>
        <v>5-6-2022</v>
      </c>
    </row>
    <row r="840" spans="1:16" x14ac:dyDescent="0.4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  <c r="P840" s="1" t="str">
        <f t="shared" si="16"/>
        <v>5-6-2022</v>
      </c>
    </row>
    <row r="841" spans="1:16" x14ac:dyDescent="0.4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  <c r="P841" s="1" t="str">
        <f t="shared" si="16"/>
        <v>5-6-2022</v>
      </c>
    </row>
    <row r="842" spans="1:16" x14ac:dyDescent="0.4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  <c r="P842" s="1" t="str">
        <f t="shared" si="16"/>
        <v>5-6-2022</v>
      </c>
    </row>
    <row r="843" spans="1:16" x14ac:dyDescent="0.4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  <c r="P843" s="1" t="str">
        <f t="shared" si="16"/>
        <v>6-6-2022</v>
      </c>
    </row>
    <row r="844" spans="1:16" x14ac:dyDescent="0.4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  <c r="P844" s="1" t="str">
        <f t="shared" si="16"/>
        <v>6-6-2022</v>
      </c>
    </row>
    <row r="845" spans="1:16" x14ac:dyDescent="0.4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  <c r="P845" s="1" t="str">
        <f t="shared" si="16"/>
        <v>6-6-2022</v>
      </c>
    </row>
    <row r="846" spans="1:16" x14ac:dyDescent="0.4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  <c r="P846" s="1" t="str">
        <f t="shared" si="16"/>
        <v>6-6-2022</v>
      </c>
    </row>
    <row r="847" spans="1:16" x14ac:dyDescent="0.4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  <c r="P847" s="1" t="str">
        <f t="shared" si="16"/>
        <v>7-6-2022</v>
      </c>
    </row>
    <row r="848" spans="1:16" x14ac:dyDescent="0.4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  <c r="P848" s="1" t="str">
        <f t="shared" si="16"/>
        <v>7-6-2022</v>
      </c>
    </row>
    <row r="849" spans="1:16" x14ac:dyDescent="0.4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  <c r="P849" s="1" t="str">
        <f t="shared" si="16"/>
        <v>7-6-2022</v>
      </c>
    </row>
    <row r="850" spans="1:16" x14ac:dyDescent="0.4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  <c r="P850" s="1" t="str">
        <f t="shared" si="16"/>
        <v>8-6-2022</v>
      </c>
    </row>
    <row r="851" spans="1:16" x14ac:dyDescent="0.4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  <c r="P851" s="1" t="str">
        <f t="shared" si="16"/>
        <v>8-6-2022</v>
      </c>
    </row>
    <row r="852" spans="1:16" x14ac:dyDescent="0.4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  <c r="P852" s="1" t="str">
        <f t="shared" si="16"/>
        <v>8-6-2022</v>
      </c>
    </row>
    <row r="853" spans="1:16" x14ac:dyDescent="0.4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  <c r="P853" s="1" t="str">
        <f t="shared" si="16"/>
        <v>8-6-2022</v>
      </c>
    </row>
    <row r="854" spans="1:16" x14ac:dyDescent="0.4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  <c r="P854" s="1" t="str">
        <f t="shared" si="16"/>
        <v>9-6-2022</v>
      </c>
    </row>
    <row r="855" spans="1:16" x14ac:dyDescent="0.4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  <c r="P855" s="1" t="str">
        <f t="shared" si="16"/>
        <v>9-6-2022</v>
      </c>
    </row>
    <row r="856" spans="1:16" x14ac:dyDescent="0.4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  <c r="P856" s="1" t="str">
        <f t="shared" si="16"/>
        <v>9-6-2022</v>
      </c>
    </row>
    <row r="857" spans="1:16" x14ac:dyDescent="0.4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  <c r="P857" s="1" t="str">
        <f t="shared" si="16"/>
        <v>10-6-2022</v>
      </c>
    </row>
    <row r="858" spans="1:16" x14ac:dyDescent="0.4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  <c r="P858" s="1" t="str">
        <f t="shared" si="16"/>
        <v>10-6-2022</v>
      </c>
    </row>
    <row r="859" spans="1:16" x14ac:dyDescent="0.4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  <c r="P859" s="1" t="str">
        <f t="shared" si="16"/>
        <v>10-6-2022</v>
      </c>
    </row>
    <row r="860" spans="1:16" x14ac:dyDescent="0.4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  <c r="P860" s="1" t="str">
        <f t="shared" si="16"/>
        <v>11-6-2022</v>
      </c>
    </row>
    <row r="861" spans="1:16" x14ac:dyDescent="0.4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  <c r="P861" s="1" t="str">
        <f t="shared" si="16"/>
        <v>11-6-2022</v>
      </c>
    </row>
    <row r="862" spans="1:16" x14ac:dyDescent="0.4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  <c r="P862" s="1" t="str">
        <f t="shared" si="16"/>
        <v>11-6-2022</v>
      </c>
    </row>
    <row r="863" spans="1:16" x14ac:dyDescent="0.4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  <c r="P863" s="1" t="str">
        <f t="shared" si="16"/>
        <v>11-6-2022</v>
      </c>
    </row>
    <row r="864" spans="1:16" x14ac:dyDescent="0.4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  <c r="P864" s="1" t="str">
        <f t="shared" si="16"/>
        <v>12-6-2022</v>
      </c>
    </row>
    <row r="865" spans="1:16" x14ac:dyDescent="0.4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  <c r="P865" s="1" t="str">
        <f t="shared" si="16"/>
        <v>12-6-2022</v>
      </c>
    </row>
    <row r="866" spans="1:16" x14ac:dyDescent="0.4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  <c r="P866" s="1" t="str">
        <f t="shared" si="16"/>
        <v>12-6-2022</v>
      </c>
    </row>
    <row r="867" spans="1:16" x14ac:dyDescent="0.4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  <c r="P867" s="1" t="str">
        <f t="shared" si="16"/>
        <v>13-6-2022</v>
      </c>
    </row>
    <row r="868" spans="1:16" x14ac:dyDescent="0.4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  <c r="P868" s="1" t="str">
        <f t="shared" si="16"/>
        <v>13-6-2022</v>
      </c>
    </row>
    <row r="869" spans="1:16" x14ac:dyDescent="0.4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  <c r="P869" s="1" t="str">
        <f t="shared" si="16"/>
        <v>13-6-2022</v>
      </c>
    </row>
    <row r="870" spans="1:16" x14ac:dyDescent="0.4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  <c r="P870" s="1" t="str">
        <f t="shared" si="16"/>
        <v>14-6-2022</v>
      </c>
    </row>
    <row r="871" spans="1:16" x14ac:dyDescent="0.4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  <c r="P871" s="1" t="str">
        <f t="shared" si="16"/>
        <v>14-6-2022</v>
      </c>
    </row>
    <row r="872" spans="1:16" x14ac:dyDescent="0.4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  <c r="P872" s="1" t="str">
        <f t="shared" si="16"/>
        <v>14-6-2022</v>
      </c>
    </row>
    <row r="873" spans="1:16" x14ac:dyDescent="0.4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  <c r="P873" s="1" t="str">
        <f t="shared" si="16"/>
        <v>15-6-2022</v>
      </c>
    </row>
    <row r="874" spans="1:16" x14ac:dyDescent="0.4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  <c r="P874" s="1" t="str">
        <f t="shared" si="16"/>
        <v>15-6-2022</v>
      </c>
    </row>
    <row r="875" spans="1:16" x14ac:dyDescent="0.4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  <c r="P875" s="1" t="str">
        <f t="shared" si="16"/>
        <v>15-6-2022</v>
      </c>
    </row>
    <row r="876" spans="1:16" x14ac:dyDescent="0.4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  <c r="P876" s="1" t="str">
        <f t="shared" si="16"/>
        <v>16-6-2022</v>
      </c>
    </row>
    <row r="877" spans="1:16" x14ac:dyDescent="0.4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  <c r="P877" s="1" t="str">
        <f t="shared" si="16"/>
        <v>16-6-2022</v>
      </c>
    </row>
    <row r="878" spans="1:16" x14ac:dyDescent="0.4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  <c r="P878" s="1" t="str">
        <f t="shared" si="16"/>
        <v>16-6-2022</v>
      </c>
    </row>
    <row r="879" spans="1:16" x14ac:dyDescent="0.4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  <c r="P879" s="1" t="str">
        <f t="shared" si="16"/>
        <v>16-6-2022</v>
      </c>
    </row>
    <row r="880" spans="1:16" x14ac:dyDescent="0.4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  <c r="P880" s="1" t="str">
        <f t="shared" si="16"/>
        <v>17-6-2022</v>
      </c>
    </row>
    <row r="881" spans="1:16" x14ac:dyDescent="0.4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  <c r="P881" s="1" t="str">
        <f t="shared" si="16"/>
        <v>17-6-2022</v>
      </c>
    </row>
    <row r="882" spans="1:16" x14ac:dyDescent="0.4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  <c r="P882" s="1" t="str">
        <f t="shared" si="16"/>
        <v>17-6-2022</v>
      </c>
    </row>
    <row r="883" spans="1:16" x14ac:dyDescent="0.4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  <c r="P883" s="1" t="str">
        <f t="shared" si="16"/>
        <v>18-6-2022</v>
      </c>
    </row>
    <row r="884" spans="1:16" x14ac:dyDescent="0.4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  <c r="P884" s="1" t="str">
        <f t="shared" si="16"/>
        <v>18-6-2022</v>
      </c>
    </row>
    <row r="885" spans="1:16" x14ac:dyDescent="0.4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  <c r="P885" s="1" t="str">
        <f t="shared" si="16"/>
        <v>18-6-2022</v>
      </c>
    </row>
    <row r="886" spans="1:16" x14ac:dyDescent="0.4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  <c r="P886" s="1" t="str">
        <f t="shared" si="16"/>
        <v>18-6-2022</v>
      </c>
    </row>
    <row r="887" spans="1:16" x14ac:dyDescent="0.4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  <c r="P887" s="1" t="str">
        <f t="shared" si="16"/>
        <v>19-6-2022</v>
      </c>
    </row>
    <row r="888" spans="1:16" x14ac:dyDescent="0.4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  <c r="P888" s="1" t="str">
        <f t="shared" si="16"/>
        <v>19-6-2022</v>
      </c>
    </row>
    <row r="889" spans="1:16" x14ac:dyDescent="0.4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  <c r="P889" s="1" t="str">
        <f t="shared" si="16"/>
        <v>19-6-2022</v>
      </c>
    </row>
    <row r="890" spans="1:16" x14ac:dyDescent="0.4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  <c r="P890" s="1" t="str">
        <f t="shared" si="16"/>
        <v>20-6-2022</v>
      </c>
    </row>
    <row r="891" spans="1:16" x14ac:dyDescent="0.4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  <c r="P891" s="1" t="str">
        <f t="shared" si="16"/>
        <v>20-6-2022</v>
      </c>
    </row>
    <row r="892" spans="1:16" x14ac:dyDescent="0.4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  <c r="P892" s="1" t="str">
        <f t="shared" si="16"/>
        <v>20-6-2022</v>
      </c>
    </row>
    <row r="893" spans="1:16" x14ac:dyDescent="0.4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  <c r="P893" s="1" t="str">
        <f t="shared" si="16"/>
        <v>21-6-2022</v>
      </c>
    </row>
    <row r="894" spans="1:16" x14ac:dyDescent="0.4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  <c r="P894" s="1" t="str">
        <f t="shared" si="16"/>
        <v>21-6-2022</v>
      </c>
    </row>
    <row r="895" spans="1:16" x14ac:dyDescent="0.4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  <c r="P895" s="1" t="str">
        <f t="shared" si="16"/>
        <v>21-6-2022</v>
      </c>
    </row>
    <row r="896" spans="1:16" x14ac:dyDescent="0.4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  <c r="P896" s="1" t="str">
        <f t="shared" si="16"/>
        <v>22-6-2022</v>
      </c>
    </row>
    <row r="897" spans="1:16" x14ac:dyDescent="0.4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  <c r="P897" s="1" t="str">
        <f t="shared" si="16"/>
        <v>22-6-2022</v>
      </c>
    </row>
    <row r="898" spans="1:16" x14ac:dyDescent="0.4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  <c r="P898" s="1" t="str">
        <f t="shared" si="16"/>
        <v>22-6-2022</v>
      </c>
    </row>
    <row r="899" spans="1:16" x14ac:dyDescent="0.4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  <c r="P899" s="1" t="str">
        <f t="shared" ref="P899:P962" si="17">B899&amp;"-"&amp;C899&amp;"-"&amp;D899</f>
        <v>23-6-2022</v>
      </c>
    </row>
    <row r="900" spans="1:16" x14ac:dyDescent="0.4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  <c r="P900" s="1" t="str">
        <f t="shared" si="17"/>
        <v>23-6-2022</v>
      </c>
    </row>
    <row r="901" spans="1:16" x14ac:dyDescent="0.4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  <c r="P901" s="1" t="str">
        <f t="shared" si="17"/>
        <v>23-6-2022</v>
      </c>
    </row>
    <row r="902" spans="1:16" x14ac:dyDescent="0.4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  <c r="P902" s="1" t="str">
        <f t="shared" si="17"/>
        <v>23-6-2022</v>
      </c>
    </row>
    <row r="903" spans="1:16" x14ac:dyDescent="0.4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  <c r="P903" s="1" t="str">
        <f t="shared" si="17"/>
        <v>24-6-2022</v>
      </c>
    </row>
    <row r="904" spans="1:16" x14ac:dyDescent="0.4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  <c r="P904" s="1" t="str">
        <f t="shared" si="17"/>
        <v>24-6-2022</v>
      </c>
    </row>
    <row r="905" spans="1:16" x14ac:dyDescent="0.4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  <c r="P905" s="1" t="str">
        <f t="shared" si="17"/>
        <v>24-6-2022</v>
      </c>
    </row>
    <row r="906" spans="1:16" x14ac:dyDescent="0.4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  <c r="P906" s="1" t="str">
        <f t="shared" si="17"/>
        <v>24-6-2022</v>
      </c>
    </row>
    <row r="907" spans="1:16" x14ac:dyDescent="0.4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  <c r="P907" s="1" t="str">
        <f t="shared" si="17"/>
        <v>25-6-2022</v>
      </c>
    </row>
    <row r="908" spans="1:16" x14ac:dyDescent="0.4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  <c r="P908" s="1" t="str">
        <f t="shared" si="17"/>
        <v>25-6-2022</v>
      </c>
    </row>
    <row r="909" spans="1:16" x14ac:dyDescent="0.4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  <c r="P909" s="1" t="str">
        <f t="shared" si="17"/>
        <v>25-6-2022</v>
      </c>
    </row>
    <row r="910" spans="1:16" x14ac:dyDescent="0.4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  <c r="P910" s="1" t="str">
        <f t="shared" si="17"/>
        <v>26-6-2022</v>
      </c>
    </row>
    <row r="911" spans="1:16" x14ac:dyDescent="0.4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  <c r="P911" s="1" t="str">
        <f t="shared" si="17"/>
        <v>26-6-2022</v>
      </c>
    </row>
    <row r="912" spans="1:16" x14ac:dyDescent="0.4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  <c r="P912" s="1" t="str">
        <f t="shared" si="17"/>
        <v>26-6-2022</v>
      </c>
    </row>
    <row r="913" spans="1:16" x14ac:dyDescent="0.4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  <c r="P913" s="1" t="str">
        <f t="shared" si="17"/>
        <v>27-6-2022</v>
      </c>
    </row>
    <row r="914" spans="1:16" x14ac:dyDescent="0.4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  <c r="P914" s="1" t="str">
        <f t="shared" si="17"/>
        <v>27-6-2022</v>
      </c>
    </row>
    <row r="915" spans="1:16" x14ac:dyDescent="0.4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  <c r="P915" s="1" t="str">
        <f t="shared" si="17"/>
        <v>27-6-2022</v>
      </c>
    </row>
    <row r="916" spans="1:16" x14ac:dyDescent="0.4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  <c r="P916" s="1" t="str">
        <f t="shared" si="17"/>
        <v>27-6-2022</v>
      </c>
    </row>
    <row r="917" spans="1:16" x14ac:dyDescent="0.4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  <c r="P917" s="1" t="str">
        <f t="shared" si="17"/>
        <v>28-6-2022</v>
      </c>
    </row>
    <row r="918" spans="1:16" x14ac:dyDescent="0.4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  <c r="P918" s="1" t="str">
        <f t="shared" si="17"/>
        <v>28-6-2022</v>
      </c>
    </row>
    <row r="919" spans="1:16" x14ac:dyDescent="0.4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  <c r="P919" s="1" t="str">
        <f t="shared" si="17"/>
        <v>28-6-2022</v>
      </c>
    </row>
    <row r="920" spans="1:16" x14ac:dyDescent="0.4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  <c r="P920" s="1" t="str">
        <f t="shared" si="17"/>
        <v>29-6-2022</v>
      </c>
    </row>
    <row r="921" spans="1:16" x14ac:dyDescent="0.4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  <c r="P921" s="1" t="str">
        <f t="shared" si="17"/>
        <v>29-6-2022</v>
      </c>
    </row>
    <row r="922" spans="1:16" x14ac:dyDescent="0.4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  <c r="P922" s="1" t="str">
        <f t="shared" si="17"/>
        <v>29-6-2022</v>
      </c>
    </row>
    <row r="923" spans="1:16" x14ac:dyDescent="0.4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  <c r="P923" s="1" t="str">
        <f t="shared" si="17"/>
        <v>30-6-2022</v>
      </c>
    </row>
    <row r="924" spans="1:16" x14ac:dyDescent="0.4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  <c r="P924" s="1" t="str">
        <f t="shared" si="17"/>
        <v>30-6-2022</v>
      </c>
    </row>
    <row r="925" spans="1:16" x14ac:dyDescent="0.4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  <c r="P925" s="1" t="str">
        <f t="shared" si="17"/>
        <v>30-6-2022</v>
      </c>
    </row>
    <row r="926" spans="1:16" x14ac:dyDescent="0.4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  <c r="P926" s="1" t="str">
        <f t="shared" si="17"/>
        <v>1-7-2022</v>
      </c>
    </row>
    <row r="927" spans="1:16" x14ac:dyDescent="0.4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  <c r="P927" s="1" t="str">
        <f t="shared" si="17"/>
        <v>1-7-2022</v>
      </c>
    </row>
    <row r="928" spans="1:16" x14ac:dyDescent="0.4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  <c r="P928" s="1" t="str">
        <f t="shared" si="17"/>
        <v>1-7-2022</v>
      </c>
    </row>
    <row r="929" spans="1:16" x14ac:dyDescent="0.4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  <c r="P929" s="1" t="str">
        <f t="shared" si="17"/>
        <v>1-7-2022</v>
      </c>
    </row>
    <row r="930" spans="1:16" x14ac:dyDescent="0.4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  <c r="P930" s="1" t="str">
        <f t="shared" si="17"/>
        <v>2-7-2022</v>
      </c>
    </row>
    <row r="931" spans="1:16" x14ac:dyDescent="0.4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  <c r="P931" s="1" t="str">
        <f t="shared" si="17"/>
        <v>2-7-2022</v>
      </c>
    </row>
    <row r="932" spans="1:16" x14ac:dyDescent="0.4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  <c r="P932" s="1" t="str">
        <f t="shared" si="17"/>
        <v>2-7-2022</v>
      </c>
    </row>
    <row r="933" spans="1:16" x14ac:dyDescent="0.4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  <c r="P933" s="1" t="str">
        <f t="shared" si="17"/>
        <v>2-7-2022</v>
      </c>
    </row>
    <row r="934" spans="1:16" x14ac:dyDescent="0.4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  <c r="P934" s="1" t="str">
        <f t="shared" si="17"/>
        <v>3-7-2022</v>
      </c>
    </row>
    <row r="935" spans="1:16" x14ac:dyDescent="0.4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  <c r="P935" s="1" t="str">
        <f t="shared" si="17"/>
        <v>3-7-2022</v>
      </c>
    </row>
    <row r="936" spans="1:16" x14ac:dyDescent="0.4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  <c r="P936" s="1" t="str">
        <f t="shared" si="17"/>
        <v>3-7-2022</v>
      </c>
    </row>
    <row r="937" spans="1:16" x14ac:dyDescent="0.4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  <c r="P937" s="1" t="str">
        <f t="shared" si="17"/>
        <v>3-7-2022</v>
      </c>
    </row>
    <row r="938" spans="1:16" x14ac:dyDescent="0.4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  <c r="P938" s="1" t="str">
        <f t="shared" si="17"/>
        <v>4-7-2022</v>
      </c>
    </row>
    <row r="939" spans="1:16" x14ac:dyDescent="0.4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  <c r="P939" s="1" t="str">
        <f t="shared" si="17"/>
        <v>4-7-2022</v>
      </c>
    </row>
    <row r="940" spans="1:16" x14ac:dyDescent="0.4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  <c r="P940" s="1" t="str">
        <f t="shared" si="17"/>
        <v>4-7-2022</v>
      </c>
    </row>
    <row r="941" spans="1:16" x14ac:dyDescent="0.4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  <c r="P941" s="1" t="str">
        <f t="shared" si="17"/>
        <v>5-7-2022</v>
      </c>
    </row>
    <row r="942" spans="1:16" x14ac:dyDescent="0.4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  <c r="P942" s="1" t="str">
        <f t="shared" si="17"/>
        <v>5-7-2022</v>
      </c>
    </row>
    <row r="943" spans="1:16" x14ac:dyDescent="0.4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  <c r="P943" s="1" t="str">
        <f t="shared" si="17"/>
        <v>5-7-2022</v>
      </c>
    </row>
    <row r="944" spans="1:16" x14ac:dyDescent="0.4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  <c r="P944" s="1" t="str">
        <f t="shared" si="17"/>
        <v>6-7-2022</v>
      </c>
    </row>
    <row r="945" spans="1:16" x14ac:dyDescent="0.4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  <c r="P945" s="1" t="str">
        <f t="shared" si="17"/>
        <v>6-7-2022</v>
      </c>
    </row>
    <row r="946" spans="1:16" x14ac:dyDescent="0.4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  <c r="P946" s="1" t="str">
        <f t="shared" si="17"/>
        <v>6-7-2022</v>
      </c>
    </row>
    <row r="947" spans="1:16" x14ac:dyDescent="0.4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  <c r="P947" s="1" t="str">
        <f t="shared" si="17"/>
        <v>6-7-2022</v>
      </c>
    </row>
    <row r="948" spans="1:16" x14ac:dyDescent="0.4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  <c r="P948" s="1" t="str">
        <f t="shared" si="17"/>
        <v>7-7-2022</v>
      </c>
    </row>
    <row r="949" spans="1:16" x14ac:dyDescent="0.4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  <c r="P949" s="1" t="str">
        <f t="shared" si="17"/>
        <v>7-7-2022</v>
      </c>
    </row>
    <row r="950" spans="1:16" x14ac:dyDescent="0.4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  <c r="P950" s="1" t="str">
        <f t="shared" si="17"/>
        <v>7-7-2022</v>
      </c>
    </row>
    <row r="951" spans="1:16" x14ac:dyDescent="0.4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  <c r="P951" s="1" t="str">
        <f t="shared" si="17"/>
        <v>7-7-2022</v>
      </c>
    </row>
    <row r="952" spans="1:16" x14ac:dyDescent="0.4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  <c r="P952" s="1" t="str">
        <f t="shared" si="17"/>
        <v>8-7-2022</v>
      </c>
    </row>
    <row r="953" spans="1:16" x14ac:dyDescent="0.4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  <c r="P953" s="1" t="str">
        <f t="shared" si="17"/>
        <v>8-7-2022</v>
      </c>
    </row>
    <row r="954" spans="1:16" x14ac:dyDescent="0.4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  <c r="P954" s="1" t="str">
        <f t="shared" si="17"/>
        <v>8-7-2022</v>
      </c>
    </row>
    <row r="955" spans="1:16" x14ac:dyDescent="0.4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  <c r="P955" s="1" t="str">
        <f t="shared" si="17"/>
        <v>8-7-2022</v>
      </c>
    </row>
    <row r="956" spans="1:16" x14ac:dyDescent="0.4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  <c r="P956" s="1" t="str">
        <f t="shared" si="17"/>
        <v>9-7-2022</v>
      </c>
    </row>
    <row r="957" spans="1:16" x14ac:dyDescent="0.4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  <c r="P957" s="1" t="str">
        <f t="shared" si="17"/>
        <v>9-7-2022</v>
      </c>
    </row>
    <row r="958" spans="1:16" x14ac:dyDescent="0.4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  <c r="P958" s="1" t="str">
        <f t="shared" si="17"/>
        <v>9-7-2022</v>
      </c>
    </row>
    <row r="959" spans="1:16" x14ac:dyDescent="0.4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  <c r="P959" s="1" t="str">
        <f t="shared" si="17"/>
        <v>9-7-2022</v>
      </c>
    </row>
    <row r="960" spans="1:16" x14ac:dyDescent="0.4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  <c r="P960" s="1" t="str">
        <f t="shared" si="17"/>
        <v>10-7-2022</v>
      </c>
    </row>
    <row r="961" spans="1:16" x14ac:dyDescent="0.4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  <c r="P961" s="1" t="str">
        <f t="shared" si="17"/>
        <v>10-7-2022</v>
      </c>
    </row>
    <row r="962" spans="1:16" x14ac:dyDescent="0.4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  <c r="P962" s="1" t="str">
        <f t="shared" si="17"/>
        <v>10-7-2022</v>
      </c>
    </row>
    <row r="963" spans="1:16" x14ac:dyDescent="0.4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  <c r="P963" s="1" t="str">
        <f t="shared" ref="P963:P1026" si="18">B963&amp;"-"&amp;C963&amp;"-"&amp;D963</f>
        <v>11-7-2022</v>
      </c>
    </row>
    <row r="964" spans="1:16" x14ac:dyDescent="0.4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  <c r="P964" s="1" t="str">
        <f t="shared" si="18"/>
        <v>11-7-2022</v>
      </c>
    </row>
    <row r="965" spans="1:16" x14ac:dyDescent="0.4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  <c r="P965" s="1" t="str">
        <f t="shared" si="18"/>
        <v>11-7-2022</v>
      </c>
    </row>
    <row r="966" spans="1:16" x14ac:dyDescent="0.4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  <c r="P966" s="1" t="str">
        <f t="shared" si="18"/>
        <v>11-7-2022</v>
      </c>
    </row>
    <row r="967" spans="1:16" x14ac:dyDescent="0.4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  <c r="P967" s="1" t="str">
        <f t="shared" si="18"/>
        <v>12-7-2022</v>
      </c>
    </row>
    <row r="968" spans="1:16" x14ac:dyDescent="0.4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  <c r="P968" s="1" t="str">
        <f t="shared" si="18"/>
        <v>12-7-2022</v>
      </c>
    </row>
    <row r="969" spans="1:16" x14ac:dyDescent="0.4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  <c r="P969" s="1" t="str">
        <f t="shared" si="18"/>
        <v>12-7-2022</v>
      </c>
    </row>
    <row r="970" spans="1:16" x14ac:dyDescent="0.4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  <c r="P970" s="1" t="str">
        <f t="shared" si="18"/>
        <v>13-7-2022</v>
      </c>
    </row>
    <row r="971" spans="1:16" x14ac:dyDescent="0.4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  <c r="P971" s="1" t="str">
        <f t="shared" si="18"/>
        <v>13-7-2022</v>
      </c>
    </row>
    <row r="972" spans="1:16" x14ac:dyDescent="0.4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  <c r="P972" s="1" t="str">
        <f t="shared" si="18"/>
        <v>13-7-2022</v>
      </c>
    </row>
    <row r="973" spans="1:16" x14ac:dyDescent="0.4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  <c r="P973" s="1" t="str">
        <f t="shared" si="18"/>
        <v>13-7-2022</v>
      </c>
    </row>
    <row r="974" spans="1:16" x14ac:dyDescent="0.4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  <c r="P974" s="1" t="str">
        <f t="shared" si="18"/>
        <v>14-7-2022</v>
      </c>
    </row>
    <row r="975" spans="1:16" x14ac:dyDescent="0.4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  <c r="P975" s="1" t="str">
        <f t="shared" si="18"/>
        <v>14-7-2022</v>
      </c>
    </row>
    <row r="976" spans="1:16" x14ac:dyDescent="0.4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  <c r="P976" s="1" t="str">
        <f t="shared" si="18"/>
        <v>14-7-2022</v>
      </c>
    </row>
    <row r="977" spans="1:16" x14ac:dyDescent="0.4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  <c r="P977" s="1" t="str">
        <f t="shared" si="18"/>
        <v>15-7-2022</v>
      </c>
    </row>
    <row r="978" spans="1:16" x14ac:dyDescent="0.4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  <c r="P978" s="1" t="str">
        <f t="shared" si="18"/>
        <v>15-7-2022</v>
      </c>
    </row>
    <row r="979" spans="1:16" x14ac:dyDescent="0.4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  <c r="P979" s="1" t="str">
        <f t="shared" si="18"/>
        <v>15-7-2022</v>
      </c>
    </row>
    <row r="980" spans="1:16" x14ac:dyDescent="0.4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  <c r="P980" s="1" t="str">
        <f t="shared" si="18"/>
        <v>15-7-2022</v>
      </c>
    </row>
    <row r="981" spans="1:16" x14ac:dyDescent="0.4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  <c r="P981" s="1" t="str">
        <f t="shared" si="18"/>
        <v>16-7-2022</v>
      </c>
    </row>
    <row r="982" spans="1:16" x14ac:dyDescent="0.4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  <c r="P982" s="1" t="str">
        <f t="shared" si="18"/>
        <v>16-7-2022</v>
      </c>
    </row>
    <row r="983" spans="1:16" x14ac:dyDescent="0.4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  <c r="P983" s="1" t="str">
        <f t="shared" si="18"/>
        <v>16-7-2022</v>
      </c>
    </row>
    <row r="984" spans="1:16" x14ac:dyDescent="0.4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  <c r="P984" s="1" t="str">
        <f t="shared" si="18"/>
        <v>16-7-2022</v>
      </c>
    </row>
    <row r="985" spans="1:16" x14ac:dyDescent="0.4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  <c r="P985" s="1" t="str">
        <f t="shared" si="18"/>
        <v>17-7-2022</v>
      </c>
    </row>
    <row r="986" spans="1:16" x14ac:dyDescent="0.4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  <c r="P986" s="1" t="str">
        <f t="shared" si="18"/>
        <v>17-7-2022</v>
      </c>
    </row>
    <row r="987" spans="1:16" x14ac:dyDescent="0.4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  <c r="P987" s="1" t="str">
        <f t="shared" si="18"/>
        <v>17-7-2022</v>
      </c>
    </row>
    <row r="988" spans="1:16" x14ac:dyDescent="0.4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  <c r="P988" s="1" t="str">
        <f t="shared" si="18"/>
        <v>17-7-2022</v>
      </c>
    </row>
    <row r="989" spans="1:16" x14ac:dyDescent="0.4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  <c r="P989" s="1" t="str">
        <f t="shared" si="18"/>
        <v>18-7-2022</v>
      </c>
    </row>
    <row r="990" spans="1:16" x14ac:dyDescent="0.4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  <c r="P990" s="1" t="str">
        <f t="shared" si="18"/>
        <v>18-7-2022</v>
      </c>
    </row>
    <row r="991" spans="1:16" x14ac:dyDescent="0.4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  <c r="P991" s="1" t="str">
        <f t="shared" si="18"/>
        <v>18-7-2022</v>
      </c>
    </row>
    <row r="992" spans="1:16" x14ac:dyDescent="0.4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  <c r="P992" s="1" t="str">
        <f t="shared" si="18"/>
        <v>18-7-2022</v>
      </c>
    </row>
    <row r="993" spans="1:16" x14ac:dyDescent="0.4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  <c r="P993" s="1" t="str">
        <f t="shared" si="18"/>
        <v>19-7-2022</v>
      </c>
    </row>
    <row r="994" spans="1:16" x14ac:dyDescent="0.4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  <c r="P994" s="1" t="str">
        <f t="shared" si="18"/>
        <v>19-7-2022</v>
      </c>
    </row>
    <row r="995" spans="1:16" x14ac:dyDescent="0.4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  <c r="P995" s="1" t="str">
        <f t="shared" si="18"/>
        <v>19-7-2022</v>
      </c>
    </row>
    <row r="996" spans="1:16" x14ac:dyDescent="0.4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  <c r="P996" s="1" t="str">
        <f t="shared" si="18"/>
        <v>20-7-2022</v>
      </c>
    </row>
    <row r="997" spans="1:16" x14ac:dyDescent="0.4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  <c r="P997" s="1" t="str">
        <f t="shared" si="18"/>
        <v>20-7-2022</v>
      </c>
    </row>
    <row r="998" spans="1:16" x14ac:dyDescent="0.4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  <c r="P998" s="1" t="str">
        <f t="shared" si="18"/>
        <v>20-7-2022</v>
      </c>
    </row>
    <row r="999" spans="1:16" x14ac:dyDescent="0.4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  <c r="P999" s="1" t="str">
        <f t="shared" si="18"/>
        <v>20-7-2022</v>
      </c>
    </row>
    <row r="1000" spans="1:16" x14ac:dyDescent="0.4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  <c r="P1000" s="1" t="str">
        <f t="shared" si="18"/>
        <v>21-7-2022</v>
      </c>
    </row>
    <row r="1001" spans="1:16" x14ac:dyDescent="0.4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  <c r="P1001" s="1" t="str">
        <f t="shared" si="18"/>
        <v>21-7-2022</v>
      </c>
    </row>
    <row r="1002" spans="1:16" x14ac:dyDescent="0.4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  <c r="P1002" s="1" t="str">
        <f t="shared" si="18"/>
        <v>21-7-2022</v>
      </c>
    </row>
    <row r="1003" spans="1:16" x14ac:dyDescent="0.4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  <c r="P1003" s="1" t="str">
        <f t="shared" si="18"/>
        <v>22-7-2022</v>
      </c>
    </row>
    <row r="1004" spans="1:16" x14ac:dyDescent="0.4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  <c r="P1004" s="1" t="str">
        <f t="shared" si="18"/>
        <v>22-7-2022</v>
      </c>
    </row>
    <row r="1005" spans="1:16" x14ac:dyDescent="0.4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  <c r="P1005" s="1" t="str">
        <f t="shared" si="18"/>
        <v>22-7-2022</v>
      </c>
    </row>
    <row r="1006" spans="1:16" x14ac:dyDescent="0.4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  <c r="P1006" s="1" t="str">
        <f t="shared" si="18"/>
        <v>23-7-2022</v>
      </c>
    </row>
    <row r="1007" spans="1:16" x14ac:dyDescent="0.4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  <c r="P1007" s="1" t="str">
        <f t="shared" si="18"/>
        <v>23-7-2022</v>
      </c>
    </row>
    <row r="1008" spans="1:16" x14ac:dyDescent="0.4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  <c r="P1008" s="1" t="str">
        <f t="shared" si="18"/>
        <v>23-7-2022</v>
      </c>
    </row>
    <row r="1009" spans="1:16" x14ac:dyDescent="0.4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  <c r="P1009" s="1" t="str">
        <f t="shared" si="18"/>
        <v>24-7-2022</v>
      </c>
    </row>
    <row r="1010" spans="1:16" x14ac:dyDescent="0.4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  <c r="P1010" s="1" t="str">
        <f t="shared" si="18"/>
        <v>24-7-2022</v>
      </c>
    </row>
    <row r="1011" spans="1:16" x14ac:dyDescent="0.4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  <c r="P1011" s="1" t="str">
        <f t="shared" si="18"/>
        <v>24-7-2022</v>
      </c>
    </row>
    <row r="1012" spans="1:16" x14ac:dyDescent="0.4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  <c r="P1012" s="1" t="str">
        <f t="shared" si="18"/>
        <v>25-7-2022</v>
      </c>
    </row>
    <row r="1013" spans="1:16" x14ac:dyDescent="0.4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  <c r="P1013" s="1" t="str">
        <f t="shared" si="18"/>
        <v>25-7-2022</v>
      </c>
    </row>
    <row r="1014" spans="1:16" x14ac:dyDescent="0.4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  <c r="P1014" s="1" t="str">
        <f t="shared" si="18"/>
        <v>25-7-2022</v>
      </c>
    </row>
    <row r="1015" spans="1:16" x14ac:dyDescent="0.4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  <c r="P1015" s="1" t="str">
        <f t="shared" si="18"/>
        <v>25-7-2022</v>
      </c>
    </row>
    <row r="1016" spans="1:16" x14ac:dyDescent="0.4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  <c r="P1016" s="1" t="str">
        <f t="shared" si="18"/>
        <v>26-7-2022</v>
      </c>
    </row>
    <row r="1017" spans="1:16" x14ac:dyDescent="0.4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  <c r="P1017" s="1" t="str">
        <f t="shared" si="18"/>
        <v>26-7-2022</v>
      </c>
    </row>
    <row r="1018" spans="1:16" x14ac:dyDescent="0.4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  <c r="P1018" s="1" t="str">
        <f t="shared" si="18"/>
        <v>26-7-2022</v>
      </c>
    </row>
    <row r="1019" spans="1:16" x14ac:dyDescent="0.4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  <c r="P1019" s="1" t="str">
        <f t="shared" si="18"/>
        <v>27-7-2022</v>
      </c>
    </row>
    <row r="1020" spans="1:16" x14ac:dyDescent="0.4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  <c r="P1020" s="1" t="str">
        <f t="shared" si="18"/>
        <v>27-7-2022</v>
      </c>
    </row>
    <row r="1021" spans="1:16" x14ac:dyDescent="0.4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  <c r="P1021" s="1" t="str">
        <f t="shared" si="18"/>
        <v>27-7-2022</v>
      </c>
    </row>
    <row r="1022" spans="1:16" x14ac:dyDescent="0.4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  <c r="P1022" s="1" t="str">
        <f t="shared" si="18"/>
        <v>28-7-2022</v>
      </c>
    </row>
    <row r="1023" spans="1:16" x14ac:dyDescent="0.4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  <c r="P1023" s="1" t="str">
        <f t="shared" si="18"/>
        <v>28-7-2022</v>
      </c>
    </row>
    <row r="1024" spans="1:16" x14ac:dyDescent="0.4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  <c r="P1024" s="1" t="str">
        <f t="shared" si="18"/>
        <v>28-7-2022</v>
      </c>
    </row>
    <row r="1025" spans="1:16" x14ac:dyDescent="0.4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  <c r="P1025" s="1" t="str">
        <f t="shared" si="18"/>
        <v>29-7-2022</v>
      </c>
    </row>
    <row r="1026" spans="1:16" x14ac:dyDescent="0.4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  <c r="P1026" s="1" t="str">
        <f t="shared" si="18"/>
        <v>29-7-2022</v>
      </c>
    </row>
    <row r="1027" spans="1:16" x14ac:dyDescent="0.4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  <c r="P1027" s="1" t="str">
        <f t="shared" ref="P1027:P1090" si="19">B1027&amp;"-"&amp;C1027&amp;"-"&amp;D1027</f>
        <v>29-7-2022</v>
      </c>
    </row>
    <row r="1028" spans="1:16" x14ac:dyDescent="0.4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  <c r="P1028" s="1" t="str">
        <f t="shared" si="19"/>
        <v>29-7-2022</v>
      </c>
    </row>
    <row r="1029" spans="1:16" x14ac:dyDescent="0.4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  <c r="P1029" s="1" t="str">
        <f t="shared" si="19"/>
        <v>30-7-2022</v>
      </c>
    </row>
    <row r="1030" spans="1:16" x14ac:dyDescent="0.4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  <c r="P1030" s="1" t="str">
        <f t="shared" si="19"/>
        <v>30-7-2022</v>
      </c>
    </row>
    <row r="1031" spans="1:16" x14ac:dyDescent="0.4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  <c r="P1031" s="1" t="str">
        <f t="shared" si="19"/>
        <v>30-7-2022</v>
      </c>
    </row>
    <row r="1032" spans="1:16" x14ac:dyDescent="0.4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  <c r="P1032" s="1" t="str">
        <f t="shared" si="19"/>
        <v>30-7-2022</v>
      </c>
    </row>
    <row r="1033" spans="1:16" x14ac:dyDescent="0.4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  <c r="P1033" s="1" t="str">
        <f t="shared" si="19"/>
        <v>31-7-2022</v>
      </c>
    </row>
    <row r="1034" spans="1:16" x14ac:dyDescent="0.4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  <c r="P1034" s="1" t="str">
        <f t="shared" si="19"/>
        <v>31-7-2022</v>
      </c>
    </row>
    <row r="1035" spans="1:16" x14ac:dyDescent="0.4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  <c r="P1035" s="1" t="str">
        <f t="shared" si="19"/>
        <v>31-7-2022</v>
      </c>
    </row>
    <row r="1036" spans="1:16" x14ac:dyDescent="0.4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  <c r="P1036" s="1" t="str">
        <f t="shared" si="19"/>
        <v>31-7-2022</v>
      </c>
    </row>
    <row r="1037" spans="1:16" x14ac:dyDescent="0.4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  <c r="P1037" s="1" t="str">
        <f t="shared" si="19"/>
        <v>1-8-2022</v>
      </c>
    </row>
    <row r="1038" spans="1:16" x14ac:dyDescent="0.4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  <c r="P1038" s="1" t="str">
        <f t="shared" si="19"/>
        <v>1-8-2022</v>
      </c>
    </row>
    <row r="1039" spans="1:16" x14ac:dyDescent="0.4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  <c r="P1039" s="1" t="str">
        <f t="shared" si="19"/>
        <v>1-8-2022</v>
      </c>
    </row>
    <row r="1040" spans="1:16" x14ac:dyDescent="0.4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  <c r="P1040" s="1" t="str">
        <f t="shared" si="19"/>
        <v>1-8-2022</v>
      </c>
    </row>
    <row r="1041" spans="1:16" x14ac:dyDescent="0.4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  <c r="P1041" s="1" t="str">
        <f t="shared" si="19"/>
        <v>2-8-2022</v>
      </c>
    </row>
    <row r="1042" spans="1:16" x14ac:dyDescent="0.4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  <c r="P1042" s="1" t="str">
        <f t="shared" si="19"/>
        <v>2-8-2022</v>
      </c>
    </row>
    <row r="1043" spans="1:16" x14ac:dyDescent="0.4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  <c r="P1043" s="1" t="str">
        <f t="shared" si="19"/>
        <v>2-8-2022</v>
      </c>
    </row>
    <row r="1044" spans="1:16" x14ac:dyDescent="0.4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  <c r="P1044" s="1" t="str">
        <f t="shared" si="19"/>
        <v>3-8-2022</v>
      </c>
    </row>
    <row r="1045" spans="1:16" x14ac:dyDescent="0.4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  <c r="P1045" s="1" t="str">
        <f t="shared" si="19"/>
        <v>3-8-2022</v>
      </c>
    </row>
    <row r="1046" spans="1:16" x14ac:dyDescent="0.4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  <c r="P1046" s="1" t="str">
        <f t="shared" si="19"/>
        <v>3-8-2022</v>
      </c>
    </row>
    <row r="1047" spans="1:16" x14ac:dyDescent="0.4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  <c r="P1047" s="1" t="str">
        <f t="shared" si="19"/>
        <v>4-8-2022</v>
      </c>
    </row>
    <row r="1048" spans="1:16" x14ac:dyDescent="0.4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  <c r="P1048" s="1" t="str">
        <f t="shared" si="19"/>
        <v>4-8-2022</v>
      </c>
    </row>
    <row r="1049" spans="1:16" x14ac:dyDescent="0.4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  <c r="P1049" s="1" t="str">
        <f t="shared" si="19"/>
        <v>4-8-2022</v>
      </c>
    </row>
    <row r="1050" spans="1:16" x14ac:dyDescent="0.4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  <c r="P1050" s="1" t="str">
        <f t="shared" si="19"/>
        <v>4-8-2022</v>
      </c>
    </row>
    <row r="1051" spans="1:16" x14ac:dyDescent="0.4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  <c r="P1051" s="1" t="str">
        <f t="shared" si="19"/>
        <v>5-8-2022</v>
      </c>
    </row>
    <row r="1052" spans="1:16" x14ac:dyDescent="0.4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  <c r="P1052" s="1" t="str">
        <f t="shared" si="19"/>
        <v>5-8-2022</v>
      </c>
    </row>
    <row r="1053" spans="1:16" x14ac:dyDescent="0.4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  <c r="P1053" s="1" t="str">
        <f t="shared" si="19"/>
        <v>5-8-2022</v>
      </c>
    </row>
    <row r="1054" spans="1:16" x14ac:dyDescent="0.4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  <c r="P1054" s="1" t="str">
        <f t="shared" si="19"/>
        <v>6-8-2022</v>
      </c>
    </row>
    <row r="1055" spans="1:16" x14ac:dyDescent="0.4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  <c r="P1055" s="1" t="str">
        <f t="shared" si="19"/>
        <v>6-8-2022</v>
      </c>
    </row>
    <row r="1056" spans="1:16" x14ac:dyDescent="0.4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  <c r="P1056" s="1" t="str">
        <f t="shared" si="19"/>
        <v>6-8-2022</v>
      </c>
    </row>
    <row r="1057" spans="1:16" x14ac:dyDescent="0.4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  <c r="P1057" s="1" t="str">
        <f t="shared" si="19"/>
        <v>7-8-2022</v>
      </c>
    </row>
    <row r="1058" spans="1:16" x14ac:dyDescent="0.4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  <c r="P1058" s="1" t="str">
        <f t="shared" si="19"/>
        <v>7-8-2022</v>
      </c>
    </row>
    <row r="1059" spans="1:16" x14ac:dyDescent="0.4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  <c r="P1059" s="1" t="str">
        <f t="shared" si="19"/>
        <v>7-8-2022</v>
      </c>
    </row>
    <row r="1060" spans="1:16" x14ac:dyDescent="0.4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  <c r="P1060" s="1" t="str">
        <f t="shared" si="19"/>
        <v>8-8-2022</v>
      </c>
    </row>
    <row r="1061" spans="1:16" x14ac:dyDescent="0.4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  <c r="P1061" s="1" t="str">
        <f t="shared" si="19"/>
        <v>8-8-2022</v>
      </c>
    </row>
    <row r="1062" spans="1:16" x14ac:dyDescent="0.4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  <c r="P1062" s="1" t="str">
        <f t="shared" si="19"/>
        <v>8-8-2022</v>
      </c>
    </row>
    <row r="1063" spans="1:16" x14ac:dyDescent="0.4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  <c r="P1063" s="1" t="str">
        <f t="shared" si="19"/>
        <v>8-8-2022</v>
      </c>
    </row>
    <row r="1064" spans="1:16" x14ac:dyDescent="0.4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  <c r="P1064" s="1" t="str">
        <f t="shared" si="19"/>
        <v>9-8-2022</v>
      </c>
    </row>
    <row r="1065" spans="1:16" x14ac:dyDescent="0.4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  <c r="P1065" s="1" t="str">
        <f t="shared" si="19"/>
        <v>9-8-2022</v>
      </c>
    </row>
    <row r="1066" spans="1:16" x14ac:dyDescent="0.4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  <c r="P1066" s="1" t="str">
        <f t="shared" si="19"/>
        <v>9-8-2022</v>
      </c>
    </row>
    <row r="1067" spans="1:16" x14ac:dyDescent="0.4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  <c r="P1067" s="1" t="str">
        <f t="shared" si="19"/>
        <v>9-8-2022</v>
      </c>
    </row>
    <row r="1068" spans="1:16" x14ac:dyDescent="0.4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  <c r="P1068" s="1" t="str">
        <f t="shared" si="19"/>
        <v>10-8-2022</v>
      </c>
    </row>
    <row r="1069" spans="1:16" x14ac:dyDescent="0.4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  <c r="P1069" s="1" t="str">
        <f t="shared" si="19"/>
        <v>10-8-2022</v>
      </c>
    </row>
    <row r="1070" spans="1:16" x14ac:dyDescent="0.4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  <c r="P1070" s="1" t="str">
        <f t="shared" si="19"/>
        <v>10-8-2022</v>
      </c>
    </row>
    <row r="1071" spans="1:16" x14ac:dyDescent="0.4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  <c r="P1071" s="1" t="str">
        <f t="shared" si="19"/>
        <v>11-8-2022</v>
      </c>
    </row>
    <row r="1072" spans="1:16" x14ac:dyDescent="0.4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  <c r="P1072" s="1" t="str">
        <f t="shared" si="19"/>
        <v>11-8-2022</v>
      </c>
    </row>
    <row r="1073" spans="1:16" x14ac:dyDescent="0.4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  <c r="P1073" s="1" t="str">
        <f t="shared" si="19"/>
        <v>11-8-2022</v>
      </c>
    </row>
    <row r="1074" spans="1:16" x14ac:dyDescent="0.4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  <c r="P1074" s="1" t="str">
        <f t="shared" si="19"/>
        <v>11-8-2022</v>
      </c>
    </row>
    <row r="1075" spans="1:16" x14ac:dyDescent="0.4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  <c r="P1075" s="1" t="str">
        <f t="shared" si="19"/>
        <v>12-8-2022</v>
      </c>
    </row>
    <row r="1076" spans="1:16" x14ac:dyDescent="0.4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  <c r="P1076" s="1" t="str">
        <f t="shared" si="19"/>
        <v>12-8-2022</v>
      </c>
    </row>
    <row r="1077" spans="1:16" x14ac:dyDescent="0.4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  <c r="P1077" s="1" t="str">
        <f t="shared" si="19"/>
        <v>12-8-2022</v>
      </c>
    </row>
    <row r="1078" spans="1:16" x14ac:dyDescent="0.4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  <c r="P1078" s="1" t="str">
        <f t="shared" si="19"/>
        <v>12-8-2022</v>
      </c>
    </row>
    <row r="1079" spans="1:16" x14ac:dyDescent="0.4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  <c r="P1079" s="1" t="str">
        <f t="shared" si="19"/>
        <v>13-8-2022</v>
      </c>
    </row>
    <row r="1080" spans="1:16" x14ac:dyDescent="0.4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  <c r="P1080" s="1" t="str">
        <f t="shared" si="19"/>
        <v>13-8-2022</v>
      </c>
    </row>
    <row r="1081" spans="1:16" x14ac:dyDescent="0.4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  <c r="P1081" s="1" t="str">
        <f t="shared" si="19"/>
        <v>13-8-2022</v>
      </c>
    </row>
    <row r="1082" spans="1:16" x14ac:dyDescent="0.4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  <c r="P1082" s="1" t="str">
        <f t="shared" si="19"/>
        <v>13-8-2022</v>
      </c>
    </row>
    <row r="1083" spans="1:16" x14ac:dyDescent="0.4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  <c r="P1083" s="1" t="str">
        <f t="shared" si="19"/>
        <v>14-8-2022</v>
      </c>
    </row>
    <row r="1084" spans="1:16" x14ac:dyDescent="0.4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  <c r="P1084" s="1" t="str">
        <f t="shared" si="19"/>
        <v>14-8-2022</v>
      </c>
    </row>
    <row r="1085" spans="1:16" x14ac:dyDescent="0.4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  <c r="P1085" s="1" t="str">
        <f t="shared" si="19"/>
        <v>14-8-2022</v>
      </c>
    </row>
    <row r="1086" spans="1:16" x14ac:dyDescent="0.4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  <c r="P1086" s="1" t="str">
        <f t="shared" si="19"/>
        <v>14-8-2022</v>
      </c>
    </row>
    <row r="1087" spans="1:16" x14ac:dyDescent="0.4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  <c r="P1087" s="1" t="str">
        <f t="shared" si="19"/>
        <v>15-8-2022</v>
      </c>
    </row>
    <row r="1088" spans="1:16" x14ac:dyDescent="0.4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  <c r="P1088" s="1" t="str">
        <f t="shared" si="19"/>
        <v>15-8-2022</v>
      </c>
    </row>
    <row r="1089" spans="1:16" x14ac:dyDescent="0.4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  <c r="P1089" s="1" t="str">
        <f t="shared" si="19"/>
        <v>15-8-2022</v>
      </c>
    </row>
    <row r="1090" spans="1:16" x14ac:dyDescent="0.4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  <c r="P1090" s="1" t="str">
        <f t="shared" si="19"/>
        <v>15-8-2022</v>
      </c>
    </row>
    <row r="1091" spans="1:16" x14ac:dyDescent="0.4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  <c r="P1091" s="1" t="str">
        <f t="shared" ref="P1091:P1154" si="20">B1091&amp;"-"&amp;C1091&amp;"-"&amp;D1091</f>
        <v>16-8-2022</v>
      </c>
    </row>
    <row r="1092" spans="1:16" x14ac:dyDescent="0.4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  <c r="P1092" s="1" t="str">
        <f t="shared" si="20"/>
        <v>16-8-2022</v>
      </c>
    </row>
    <row r="1093" spans="1:16" x14ac:dyDescent="0.4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  <c r="P1093" s="1" t="str">
        <f t="shared" si="20"/>
        <v>16-8-2022</v>
      </c>
    </row>
    <row r="1094" spans="1:16" x14ac:dyDescent="0.4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  <c r="P1094" s="1" t="str">
        <f t="shared" si="20"/>
        <v>17-8-2022</v>
      </c>
    </row>
    <row r="1095" spans="1:16" x14ac:dyDescent="0.4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  <c r="P1095" s="1" t="str">
        <f t="shared" si="20"/>
        <v>17-8-2022</v>
      </c>
    </row>
    <row r="1096" spans="1:16" x14ac:dyDescent="0.4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  <c r="P1096" s="1" t="str">
        <f t="shared" si="20"/>
        <v>17-8-2022</v>
      </c>
    </row>
    <row r="1097" spans="1:16" x14ac:dyDescent="0.4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  <c r="P1097" s="1" t="str">
        <f t="shared" si="20"/>
        <v>17-8-2022</v>
      </c>
    </row>
    <row r="1098" spans="1:16" x14ac:dyDescent="0.4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  <c r="P1098" s="1" t="str">
        <f t="shared" si="20"/>
        <v>18-8-2022</v>
      </c>
    </row>
    <row r="1099" spans="1:16" x14ac:dyDescent="0.4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  <c r="P1099" s="1" t="str">
        <f t="shared" si="20"/>
        <v>18-8-2022</v>
      </c>
    </row>
    <row r="1100" spans="1:16" x14ac:dyDescent="0.4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  <c r="P1100" s="1" t="str">
        <f t="shared" si="20"/>
        <v>18-8-2022</v>
      </c>
    </row>
    <row r="1101" spans="1:16" x14ac:dyDescent="0.4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  <c r="P1101" s="1" t="str">
        <f t="shared" si="20"/>
        <v>19-8-2022</v>
      </c>
    </row>
    <row r="1102" spans="1:16" x14ac:dyDescent="0.4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  <c r="P1102" s="1" t="str">
        <f t="shared" si="20"/>
        <v>19-8-2022</v>
      </c>
    </row>
    <row r="1103" spans="1:16" x14ac:dyDescent="0.4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  <c r="P1103" s="1" t="str">
        <f t="shared" si="20"/>
        <v>19-8-2022</v>
      </c>
    </row>
    <row r="1104" spans="1:16" x14ac:dyDescent="0.4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  <c r="P1104" s="1" t="str">
        <f t="shared" si="20"/>
        <v>20-8-2022</v>
      </c>
    </row>
    <row r="1105" spans="1:16" x14ac:dyDescent="0.4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  <c r="P1105" s="1" t="str">
        <f t="shared" si="20"/>
        <v>20-8-2022</v>
      </c>
    </row>
    <row r="1106" spans="1:16" x14ac:dyDescent="0.4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  <c r="P1106" s="1" t="str">
        <f t="shared" si="20"/>
        <v>20-8-2022</v>
      </c>
    </row>
    <row r="1107" spans="1:16" x14ac:dyDescent="0.4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  <c r="P1107" s="1" t="str">
        <f t="shared" si="20"/>
        <v>20-8-2022</v>
      </c>
    </row>
    <row r="1108" spans="1:16" x14ac:dyDescent="0.4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  <c r="P1108" s="1" t="str">
        <f t="shared" si="20"/>
        <v>21-8-2022</v>
      </c>
    </row>
    <row r="1109" spans="1:16" x14ac:dyDescent="0.4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  <c r="P1109" s="1" t="str">
        <f t="shared" si="20"/>
        <v>21-8-2022</v>
      </c>
    </row>
    <row r="1110" spans="1:16" x14ac:dyDescent="0.4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  <c r="P1110" s="1" t="str">
        <f t="shared" si="20"/>
        <v>21-8-2022</v>
      </c>
    </row>
    <row r="1111" spans="1:16" x14ac:dyDescent="0.4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  <c r="P1111" s="1" t="str">
        <f t="shared" si="20"/>
        <v>22-8-2022</v>
      </c>
    </row>
    <row r="1112" spans="1:16" x14ac:dyDescent="0.4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  <c r="P1112" s="1" t="str">
        <f t="shared" si="20"/>
        <v>22-8-2022</v>
      </c>
    </row>
    <row r="1113" spans="1:16" x14ac:dyDescent="0.4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  <c r="P1113" s="1" t="str">
        <f t="shared" si="20"/>
        <v>22-8-2022</v>
      </c>
    </row>
    <row r="1114" spans="1:16" x14ac:dyDescent="0.4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  <c r="P1114" s="1" t="str">
        <f t="shared" si="20"/>
        <v>23-8-2022</v>
      </c>
    </row>
    <row r="1115" spans="1:16" x14ac:dyDescent="0.4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  <c r="P1115" s="1" t="str">
        <f t="shared" si="20"/>
        <v>23-8-2022</v>
      </c>
    </row>
    <row r="1116" spans="1:16" x14ac:dyDescent="0.4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  <c r="P1116" s="1" t="str">
        <f t="shared" si="20"/>
        <v>23-8-2022</v>
      </c>
    </row>
    <row r="1117" spans="1:16" x14ac:dyDescent="0.4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  <c r="P1117" s="1" t="str">
        <f t="shared" si="20"/>
        <v>24-8-2022</v>
      </c>
    </row>
    <row r="1118" spans="1:16" x14ac:dyDescent="0.4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  <c r="P1118" s="1" t="str">
        <f t="shared" si="20"/>
        <v>24-8-2022</v>
      </c>
    </row>
    <row r="1119" spans="1:16" x14ac:dyDescent="0.4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  <c r="P1119" s="1" t="str">
        <f t="shared" si="20"/>
        <v>24-8-2022</v>
      </c>
    </row>
    <row r="1120" spans="1:16" x14ac:dyDescent="0.4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  <c r="P1120" s="1" t="str">
        <f t="shared" si="20"/>
        <v>24-8-2022</v>
      </c>
    </row>
    <row r="1121" spans="1:16" x14ac:dyDescent="0.4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  <c r="P1121" s="1" t="str">
        <f t="shared" si="20"/>
        <v>25-8-2022</v>
      </c>
    </row>
    <row r="1122" spans="1:16" x14ac:dyDescent="0.4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  <c r="P1122" s="1" t="str">
        <f t="shared" si="20"/>
        <v>25-8-2022</v>
      </c>
    </row>
    <row r="1123" spans="1:16" x14ac:dyDescent="0.4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  <c r="P1123" s="1" t="str">
        <f t="shared" si="20"/>
        <v>25-8-2022</v>
      </c>
    </row>
    <row r="1124" spans="1:16" x14ac:dyDescent="0.4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  <c r="P1124" s="1" t="str">
        <f t="shared" si="20"/>
        <v>25-8-2022</v>
      </c>
    </row>
    <row r="1125" spans="1:16" x14ac:dyDescent="0.4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  <c r="P1125" s="1" t="str">
        <f t="shared" si="20"/>
        <v>26-8-2022</v>
      </c>
    </row>
    <row r="1126" spans="1:16" x14ac:dyDescent="0.4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  <c r="P1126" s="1" t="str">
        <f t="shared" si="20"/>
        <v>26-8-2022</v>
      </c>
    </row>
    <row r="1127" spans="1:16" x14ac:dyDescent="0.4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  <c r="P1127" s="1" t="str">
        <f t="shared" si="20"/>
        <v>26-8-2022</v>
      </c>
    </row>
    <row r="1128" spans="1:16" x14ac:dyDescent="0.4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  <c r="P1128" s="1" t="str">
        <f t="shared" si="20"/>
        <v>27-8-2022</v>
      </c>
    </row>
    <row r="1129" spans="1:16" x14ac:dyDescent="0.4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  <c r="P1129" s="1" t="str">
        <f t="shared" si="20"/>
        <v>27-8-2022</v>
      </c>
    </row>
    <row r="1130" spans="1:16" x14ac:dyDescent="0.4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  <c r="P1130" s="1" t="str">
        <f t="shared" si="20"/>
        <v>27-8-2022</v>
      </c>
    </row>
    <row r="1131" spans="1:16" x14ac:dyDescent="0.4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  <c r="P1131" s="1" t="str">
        <f t="shared" si="20"/>
        <v>27-8-2022</v>
      </c>
    </row>
    <row r="1132" spans="1:16" x14ac:dyDescent="0.4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  <c r="P1132" s="1" t="str">
        <f t="shared" si="20"/>
        <v>28-8-2022</v>
      </c>
    </row>
    <row r="1133" spans="1:16" x14ac:dyDescent="0.4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  <c r="P1133" s="1" t="str">
        <f t="shared" si="20"/>
        <v>28-8-2022</v>
      </c>
    </row>
    <row r="1134" spans="1:16" x14ac:dyDescent="0.4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  <c r="P1134" s="1" t="str">
        <f t="shared" si="20"/>
        <v>28-8-2022</v>
      </c>
    </row>
    <row r="1135" spans="1:16" x14ac:dyDescent="0.4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  <c r="P1135" s="1" t="str">
        <f t="shared" si="20"/>
        <v>28-8-2022</v>
      </c>
    </row>
    <row r="1136" spans="1:16" x14ac:dyDescent="0.4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  <c r="P1136" s="1" t="str">
        <f t="shared" si="20"/>
        <v>29-8-2022</v>
      </c>
    </row>
    <row r="1137" spans="1:16" x14ac:dyDescent="0.4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  <c r="P1137" s="1" t="str">
        <f t="shared" si="20"/>
        <v>29-8-2022</v>
      </c>
    </row>
    <row r="1138" spans="1:16" x14ac:dyDescent="0.4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  <c r="P1138" s="1" t="str">
        <f t="shared" si="20"/>
        <v>29-8-2022</v>
      </c>
    </row>
    <row r="1139" spans="1:16" x14ac:dyDescent="0.4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  <c r="P1139" s="1" t="str">
        <f t="shared" si="20"/>
        <v>29-8-2022</v>
      </c>
    </row>
    <row r="1140" spans="1:16" x14ac:dyDescent="0.4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  <c r="P1140" s="1" t="str">
        <f t="shared" si="20"/>
        <v>30-8-2022</v>
      </c>
    </row>
    <row r="1141" spans="1:16" x14ac:dyDescent="0.4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  <c r="P1141" s="1" t="str">
        <f t="shared" si="20"/>
        <v>30-8-2022</v>
      </c>
    </row>
    <row r="1142" spans="1:16" x14ac:dyDescent="0.4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  <c r="P1142" s="1" t="str">
        <f t="shared" si="20"/>
        <v>30-8-2022</v>
      </c>
    </row>
    <row r="1143" spans="1:16" x14ac:dyDescent="0.4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  <c r="P1143" s="1" t="str">
        <f t="shared" si="20"/>
        <v>30-8-2022</v>
      </c>
    </row>
    <row r="1144" spans="1:16" x14ac:dyDescent="0.4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  <c r="P1144" s="1" t="str">
        <f t="shared" si="20"/>
        <v>31-8-2022</v>
      </c>
    </row>
    <row r="1145" spans="1:16" x14ac:dyDescent="0.4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  <c r="P1145" s="1" t="str">
        <f t="shared" si="20"/>
        <v>31-8-2022</v>
      </c>
    </row>
    <row r="1146" spans="1:16" x14ac:dyDescent="0.4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  <c r="P1146" s="1" t="str">
        <f t="shared" si="20"/>
        <v>31-8-2022</v>
      </c>
    </row>
    <row r="1147" spans="1:16" x14ac:dyDescent="0.4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  <c r="P1147" s="1" t="str">
        <f t="shared" si="20"/>
        <v>1-9-2022</v>
      </c>
    </row>
    <row r="1148" spans="1:16" x14ac:dyDescent="0.4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  <c r="P1148" s="1" t="str">
        <f t="shared" si="20"/>
        <v>1-9-2022</v>
      </c>
    </row>
    <row r="1149" spans="1:16" x14ac:dyDescent="0.4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  <c r="P1149" s="1" t="str">
        <f t="shared" si="20"/>
        <v>1-9-2022</v>
      </c>
    </row>
    <row r="1150" spans="1:16" x14ac:dyDescent="0.4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  <c r="P1150" s="1" t="str">
        <f t="shared" si="20"/>
        <v>2-9-2022</v>
      </c>
    </row>
    <row r="1151" spans="1:16" x14ac:dyDescent="0.4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  <c r="P1151" s="1" t="str">
        <f t="shared" si="20"/>
        <v>2-9-2022</v>
      </c>
    </row>
    <row r="1152" spans="1:16" x14ac:dyDescent="0.4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  <c r="P1152" s="1" t="str">
        <f t="shared" si="20"/>
        <v>2-9-2022</v>
      </c>
    </row>
    <row r="1153" spans="1:16" x14ac:dyDescent="0.4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  <c r="P1153" s="1" t="str">
        <f t="shared" si="20"/>
        <v>2-9-2022</v>
      </c>
    </row>
    <row r="1154" spans="1:16" x14ac:dyDescent="0.4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  <c r="P1154" s="1" t="str">
        <f t="shared" si="20"/>
        <v>3-9-2022</v>
      </c>
    </row>
    <row r="1155" spans="1:16" x14ac:dyDescent="0.4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  <c r="P1155" s="1" t="str">
        <f t="shared" ref="P1155:P1218" si="21">B1155&amp;"-"&amp;C1155&amp;"-"&amp;D1155</f>
        <v>3-9-2022</v>
      </c>
    </row>
    <row r="1156" spans="1:16" x14ac:dyDescent="0.4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  <c r="P1156" s="1" t="str">
        <f t="shared" si="21"/>
        <v>3-9-2022</v>
      </c>
    </row>
    <row r="1157" spans="1:16" x14ac:dyDescent="0.4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  <c r="P1157" s="1" t="str">
        <f t="shared" si="21"/>
        <v>3-9-2022</v>
      </c>
    </row>
    <row r="1158" spans="1:16" x14ac:dyDescent="0.4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  <c r="P1158" s="1" t="str">
        <f t="shared" si="21"/>
        <v>4-9-2022</v>
      </c>
    </row>
    <row r="1159" spans="1:16" x14ac:dyDescent="0.4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  <c r="P1159" s="1" t="str">
        <f t="shared" si="21"/>
        <v>4-9-2022</v>
      </c>
    </row>
    <row r="1160" spans="1:16" x14ac:dyDescent="0.4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  <c r="P1160" s="1" t="str">
        <f t="shared" si="21"/>
        <v>4-9-2022</v>
      </c>
    </row>
    <row r="1161" spans="1:16" x14ac:dyDescent="0.4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  <c r="P1161" s="1" t="str">
        <f t="shared" si="21"/>
        <v>5-9-2022</v>
      </c>
    </row>
    <row r="1162" spans="1:16" x14ac:dyDescent="0.4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  <c r="P1162" s="1" t="str">
        <f t="shared" si="21"/>
        <v>5-9-2022</v>
      </c>
    </row>
    <row r="1163" spans="1:16" x14ac:dyDescent="0.4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  <c r="P1163" s="1" t="str">
        <f t="shared" si="21"/>
        <v>5-9-2022</v>
      </c>
    </row>
    <row r="1164" spans="1:16" x14ac:dyDescent="0.4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  <c r="P1164" s="1" t="str">
        <f t="shared" si="21"/>
        <v>6-9-2022</v>
      </c>
    </row>
    <row r="1165" spans="1:16" x14ac:dyDescent="0.4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  <c r="P1165" s="1" t="str">
        <f t="shared" si="21"/>
        <v>6-9-2022</v>
      </c>
    </row>
    <row r="1166" spans="1:16" x14ac:dyDescent="0.4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  <c r="P1166" s="1" t="str">
        <f t="shared" si="21"/>
        <v>6-9-2022</v>
      </c>
    </row>
    <row r="1167" spans="1:16" x14ac:dyDescent="0.4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  <c r="P1167" s="1" t="str">
        <f t="shared" si="21"/>
        <v>6-9-2022</v>
      </c>
    </row>
    <row r="1168" spans="1:16" x14ac:dyDescent="0.4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  <c r="P1168" s="1" t="str">
        <f t="shared" si="21"/>
        <v>7-9-2022</v>
      </c>
    </row>
    <row r="1169" spans="1:16" x14ac:dyDescent="0.4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  <c r="P1169" s="1" t="str">
        <f t="shared" si="21"/>
        <v>7-9-2022</v>
      </c>
    </row>
    <row r="1170" spans="1:16" x14ac:dyDescent="0.4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  <c r="P1170" s="1" t="str">
        <f t="shared" si="21"/>
        <v>7-9-2022</v>
      </c>
    </row>
    <row r="1171" spans="1:16" x14ac:dyDescent="0.4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  <c r="P1171" s="1" t="str">
        <f t="shared" si="21"/>
        <v>8-9-2022</v>
      </c>
    </row>
    <row r="1172" spans="1:16" x14ac:dyDescent="0.4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  <c r="P1172" s="1" t="str">
        <f t="shared" si="21"/>
        <v>8-9-2022</v>
      </c>
    </row>
    <row r="1173" spans="1:16" x14ac:dyDescent="0.4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  <c r="P1173" s="1" t="str">
        <f t="shared" si="21"/>
        <v>8-9-2022</v>
      </c>
    </row>
    <row r="1174" spans="1:16" x14ac:dyDescent="0.4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  <c r="P1174" s="1" t="str">
        <f t="shared" si="21"/>
        <v>8-9-2022</v>
      </c>
    </row>
    <row r="1175" spans="1:16" x14ac:dyDescent="0.4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  <c r="P1175" s="1" t="str">
        <f t="shared" si="21"/>
        <v>9-9-2022</v>
      </c>
    </row>
    <row r="1176" spans="1:16" x14ac:dyDescent="0.4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  <c r="P1176" s="1" t="str">
        <f t="shared" si="21"/>
        <v>9-9-2022</v>
      </c>
    </row>
    <row r="1177" spans="1:16" x14ac:dyDescent="0.4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  <c r="P1177" s="1" t="str">
        <f t="shared" si="21"/>
        <v>9-9-2022</v>
      </c>
    </row>
    <row r="1178" spans="1:16" x14ac:dyDescent="0.4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  <c r="P1178" s="1" t="str">
        <f t="shared" si="21"/>
        <v>9-9-2022</v>
      </c>
    </row>
    <row r="1179" spans="1:16" x14ac:dyDescent="0.4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  <c r="P1179" s="1" t="str">
        <f t="shared" si="21"/>
        <v>10-9-2022</v>
      </c>
    </row>
    <row r="1180" spans="1:16" x14ac:dyDescent="0.4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  <c r="P1180" s="1" t="str">
        <f t="shared" si="21"/>
        <v>10-9-2022</v>
      </c>
    </row>
    <row r="1181" spans="1:16" x14ac:dyDescent="0.4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  <c r="P1181" s="1" t="str">
        <f t="shared" si="21"/>
        <v>10-9-2022</v>
      </c>
    </row>
    <row r="1182" spans="1:16" x14ac:dyDescent="0.4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  <c r="P1182" s="1" t="str">
        <f t="shared" si="21"/>
        <v>11-9-2022</v>
      </c>
    </row>
    <row r="1183" spans="1:16" x14ac:dyDescent="0.4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  <c r="P1183" s="1" t="str">
        <f t="shared" si="21"/>
        <v>11-9-2022</v>
      </c>
    </row>
    <row r="1184" spans="1:16" x14ac:dyDescent="0.4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  <c r="P1184" s="1" t="str">
        <f t="shared" si="21"/>
        <v>11-9-2022</v>
      </c>
    </row>
    <row r="1185" spans="1:16" x14ac:dyDescent="0.4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  <c r="P1185" s="1" t="str">
        <f t="shared" si="21"/>
        <v>12-9-2022</v>
      </c>
    </row>
    <row r="1186" spans="1:16" x14ac:dyDescent="0.4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  <c r="P1186" s="1" t="str">
        <f t="shared" si="21"/>
        <v>12-9-2022</v>
      </c>
    </row>
    <row r="1187" spans="1:16" x14ac:dyDescent="0.4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  <c r="P1187" s="1" t="str">
        <f t="shared" si="21"/>
        <v>12-9-2022</v>
      </c>
    </row>
    <row r="1188" spans="1:16" x14ac:dyDescent="0.4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  <c r="P1188" s="1" t="str">
        <f t="shared" si="21"/>
        <v>12-9-2022</v>
      </c>
    </row>
    <row r="1189" spans="1:16" x14ac:dyDescent="0.4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  <c r="P1189" s="1" t="str">
        <f t="shared" si="21"/>
        <v>13-9-2022</v>
      </c>
    </row>
    <row r="1190" spans="1:16" x14ac:dyDescent="0.4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  <c r="P1190" s="1" t="str">
        <f t="shared" si="21"/>
        <v>13-9-2022</v>
      </c>
    </row>
    <row r="1191" spans="1:16" x14ac:dyDescent="0.4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  <c r="P1191" s="1" t="str">
        <f t="shared" si="21"/>
        <v>13-9-2022</v>
      </c>
    </row>
    <row r="1192" spans="1:16" x14ac:dyDescent="0.4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  <c r="P1192" s="1" t="str">
        <f t="shared" si="21"/>
        <v>13-9-2022</v>
      </c>
    </row>
    <row r="1193" spans="1:16" x14ac:dyDescent="0.4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  <c r="P1193" s="1" t="str">
        <f t="shared" si="21"/>
        <v>14-9-2022</v>
      </c>
    </row>
    <row r="1194" spans="1:16" x14ac:dyDescent="0.4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  <c r="P1194" s="1" t="str">
        <f t="shared" si="21"/>
        <v>14-9-2022</v>
      </c>
    </row>
    <row r="1195" spans="1:16" x14ac:dyDescent="0.4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  <c r="P1195" s="1" t="str">
        <f t="shared" si="21"/>
        <v>14-9-2022</v>
      </c>
    </row>
    <row r="1196" spans="1:16" x14ac:dyDescent="0.4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  <c r="P1196" s="1" t="str">
        <f t="shared" si="21"/>
        <v>15-9-2022</v>
      </c>
    </row>
    <row r="1197" spans="1:16" x14ac:dyDescent="0.4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  <c r="P1197" s="1" t="str">
        <f t="shared" si="21"/>
        <v>15-9-2022</v>
      </c>
    </row>
    <row r="1198" spans="1:16" x14ac:dyDescent="0.4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  <c r="P1198" s="1" t="str">
        <f t="shared" si="21"/>
        <v>15-9-2022</v>
      </c>
    </row>
    <row r="1199" spans="1:16" x14ac:dyDescent="0.4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  <c r="P1199" s="1" t="str">
        <f t="shared" si="21"/>
        <v>15-9-2022</v>
      </c>
    </row>
    <row r="1200" spans="1:16" x14ac:dyDescent="0.4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  <c r="P1200" s="1" t="str">
        <f t="shared" si="21"/>
        <v>16-9-2022</v>
      </c>
    </row>
    <row r="1201" spans="1:16" x14ac:dyDescent="0.4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  <c r="P1201" s="1" t="str">
        <f t="shared" si="21"/>
        <v>16-9-2022</v>
      </c>
    </row>
    <row r="1202" spans="1:16" x14ac:dyDescent="0.4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  <c r="P1202" s="1" t="str">
        <f t="shared" si="21"/>
        <v>16-9-2022</v>
      </c>
    </row>
    <row r="1203" spans="1:16" x14ac:dyDescent="0.4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  <c r="P1203" s="1" t="str">
        <f t="shared" si="21"/>
        <v>17-9-2022</v>
      </c>
    </row>
    <row r="1204" spans="1:16" x14ac:dyDescent="0.4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  <c r="P1204" s="1" t="str">
        <f t="shared" si="21"/>
        <v>17-9-2022</v>
      </c>
    </row>
    <row r="1205" spans="1:16" x14ac:dyDescent="0.4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  <c r="P1205" s="1" t="str">
        <f t="shared" si="21"/>
        <v>17-9-2022</v>
      </c>
    </row>
    <row r="1206" spans="1:16" x14ac:dyDescent="0.4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  <c r="P1206" s="1" t="str">
        <f t="shared" si="21"/>
        <v>17-9-2022</v>
      </c>
    </row>
    <row r="1207" spans="1:16" x14ac:dyDescent="0.4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  <c r="P1207" s="1" t="str">
        <f t="shared" si="21"/>
        <v>18-9-2022</v>
      </c>
    </row>
    <row r="1208" spans="1:16" x14ac:dyDescent="0.4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  <c r="P1208" s="1" t="str">
        <f t="shared" si="21"/>
        <v>18-9-2022</v>
      </c>
    </row>
    <row r="1209" spans="1:16" x14ac:dyDescent="0.4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  <c r="P1209" s="1" t="str">
        <f t="shared" si="21"/>
        <v>18-9-2022</v>
      </c>
    </row>
    <row r="1210" spans="1:16" x14ac:dyDescent="0.4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  <c r="P1210" s="1" t="str">
        <f t="shared" si="21"/>
        <v>19-9-2022</v>
      </c>
    </row>
    <row r="1211" spans="1:16" x14ac:dyDescent="0.4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  <c r="P1211" s="1" t="str">
        <f t="shared" si="21"/>
        <v>19-9-2022</v>
      </c>
    </row>
    <row r="1212" spans="1:16" x14ac:dyDescent="0.4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  <c r="P1212" s="1" t="str">
        <f t="shared" si="21"/>
        <v>19-9-2022</v>
      </c>
    </row>
    <row r="1213" spans="1:16" x14ac:dyDescent="0.4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  <c r="P1213" s="1" t="str">
        <f t="shared" si="21"/>
        <v>20-9-2022</v>
      </c>
    </row>
    <row r="1214" spans="1:16" x14ac:dyDescent="0.4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  <c r="P1214" s="1" t="str">
        <f t="shared" si="21"/>
        <v>20-9-2022</v>
      </c>
    </row>
    <row r="1215" spans="1:16" x14ac:dyDescent="0.4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  <c r="P1215" s="1" t="str">
        <f t="shared" si="21"/>
        <v>20-9-2022</v>
      </c>
    </row>
    <row r="1216" spans="1:16" x14ac:dyDescent="0.4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  <c r="P1216" s="1" t="str">
        <f t="shared" si="21"/>
        <v>21-9-2022</v>
      </c>
    </row>
    <row r="1217" spans="1:16" x14ac:dyDescent="0.4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  <c r="P1217" s="1" t="str">
        <f t="shared" si="21"/>
        <v>21-9-2022</v>
      </c>
    </row>
    <row r="1218" spans="1:16" x14ac:dyDescent="0.4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  <c r="P1218" s="1" t="str">
        <f t="shared" si="21"/>
        <v>21-9-2022</v>
      </c>
    </row>
    <row r="1219" spans="1:16" x14ac:dyDescent="0.4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  <c r="P1219" s="1" t="str">
        <f t="shared" ref="P1219:P1282" si="22">B1219&amp;"-"&amp;C1219&amp;"-"&amp;D1219</f>
        <v>21-9-2022</v>
      </c>
    </row>
    <row r="1220" spans="1:16" x14ac:dyDescent="0.4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  <c r="P1220" s="1" t="str">
        <f t="shared" si="22"/>
        <v>22-9-2022</v>
      </c>
    </row>
    <row r="1221" spans="1:16" x14ac:dyDescent="0.4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  <c r="P1221" s="1" t="str">
        <f t="shared" si="22"/>
        <v>22-9-2022</v>
      </c>
    </row>
    <row r="1222" spans="1:16" x14ac:dyDescent="0.4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  <c r="P1222" s="1" t="str">
        <f t="shared" si="22"/>
        <v>22-9-2022</v>
      </c>
    </row>
    <row r="1223" spans="1:16" x14ac:dyDescent="0.4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  <c r="P1223" s="1" t="str">
        <f t="shared" si="22"/>
        <v>22-9-2022</v>
      </c>
    </row>
    <row r="1224" spans="1:16" x14ac:dyDescent="0.4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  <c r="P1224" s="1" t="str">
        <f t="shared" si="22"/>
        <v>23-9-2022</v>
      </c>
    </row>
    <row r="1225" spans="1:16" x14ac:dyDescent="0.4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  <c r="P1225" s="1" t="str">
        <f t="shared" si="22"/>
        <v>23-9-2022</v>
      </c>
    </row>
    <row r="1226" spans="1:16" x14ac:dyDescent="0.4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  <c r="P1226" s="1" t="str">
        <f t="shared" si="22"/>
        <v>23-9-2022</v>
      </c>
    </row>
    <row r="1227" spans="1:16" x14ac:dyDescent="0.4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  <c r="P1227" s="1" t="str">
        <f t="shared" si="22"/>
        <v>24-9-2022</v>
      </c>
    </row>
    <row r="1228" spans="1:16" x14ac:dyDescent="0.4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  <c r="P1228" s="1" t="str">
        <f t="shared" si="22"/>
        <v>24-9-2022</v>
      </c>
    </row>
    <row r="1229" spans="1:16" x14ac:dyDescent="0.4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  <c r="P1229" s="1" t="str">
        <f t="shared" si="22"/>
        <v>24-9-2022</v>
      </c>
    </row>
    <row r="1230" spans="1:16" x14ac:dyDescent="0.4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  <c r="P1230" s="1" t="str">
        <f t="shared" si="22"/>
        <v>24-9-2022</v>
      </c>
    </row>
    <row r="1231" spans="1:16" x14ac:dyDescent="0.4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  <c r="P1231" s="1" t="str">
        <f t="shared" si="22"/>
        <v>25-9-2022</v>
      </c>
    </row>
    <row r="1232" spans="1:16" x14ac:dyDescent="0.4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  <c r="P1232" s="1" t="str">
        <f t="shared" si="22"/>
        <v>25-9-2022</v>
      </c>
    </row>
    <row r="1233" spans="1:16" x14ac:dyDescent="0.4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  <c r="P1233" s="1" t="str">
        <f t="shared" si="22"/>
        <v>25-9-2022</v>
      </c>
    </row>
    <row r="1234" spans="1:16" x14ac:dyDescent="0.4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  <c r="P1234" s="1" t="str">
        <f t="shared" si="22"/>
        <v>26-9-2022</v>
      </c>
    </row>
    <row r="1235" spans="1:16" x14ac:dyDescent="0.4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  <c r="P1235" s="1" t="str">
        <f t="shared" si="22"/>
        <v>26-9-2022</v>
      </c>
    </row>
    <row r="1236" spans="1:16" x14ac:dyDescent="0.4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  <c r="P1236" s="1" t="str">
        <f t="shared" si="22"/>
        <v>26-9-2022</v>
      </c>
    </row>
    <row r="1237" spans="1:16" x14ac:dyDescent="0.4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  <c r="P1237" s="1" t="str">
        <f t="shared" si="22"/>
        <v>27-9-2022</v>
      </c>
    </row>
    <row r="1238" spans="1:16" x14ac:dyDescent="0.4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  <c r="P1238" s="1" t="str">
        <f t="shared" si="22"/>
        <v>27-9-2022</v>
      </c>
    </row>
    <row r="1239" spans="1:16" x14ac:dyDescent="0.4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  <c r="P1239" s="1" t="str">
        <f t="shared" si="22"/>
        <v>27-9-2022</v>
      </c>
    </row>
    <row r="1240" spans="1:16" x14ac:dyDescent="0.4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  <c r="P1240" s="1" t="str">
        <f t="shared" si="22"/>
        <v>27-9-2022</v>
      </c>
    </row>
    <row r="1241" spans="1:16" x14ac:dyDescent="0.4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  <c r="P1241" s="1" t="str">
        <f t="shared" si="22"/>
        <v>28-9-2022</v>
      </c>
    </row>
    <row r="1242" spans="1:16" x14ac:dyDescent="0.4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  <c r="P1242" s="1" t="str">
        <f t="shared" si="22"/>
        <v>28-9-2022</v>
      </c>
    </row>
    <row r="1243" spans="1:16" x14ac:dyDescent="0.4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  <c r="P1243" s="1" t="str">
        <f t="shared" si="22"/>
        <v>28-9-2022</v>
      </c>
    </row>
    <row r="1244" spans="1:16" x14ac:dyDescent="0.4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  <c r="P1244" s="1" t="str">
        <f t="shared" si="22"/>
        <v>28-9-2022</v>
      </c>
    </row>
    <row r="1245" spans="1:16" x14ac:dyDescent="0.4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  <c r="P1245" s="1" t="str">
        <f t="shared" si="22"/>
        <v>29-9-2022</v>
      </c>
    </row>
    <row r="1246" spans="1:16" x14ac:dyDescent="0.4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  <c r="P1246" s="1" t="str">
        <f t="shared" si="22"/>
        <v>29-9-2022</v>
      </c>
    </row>
    <row r="1247" spans="1:16" x14ac:dyDescent="0.4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  <c r="P1247" s="1" t="str">
        <f t="shared" si="22"/>
        <v>29-9-2022</v>
      </c>
    </row>
    <row r="1248" spans="1:16" x14ac:dyDescent="0.4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  <c r="P1248" s="1" t="str">
        <f t="shared" si="22"/>
        <v>30-9-2022</v>
      </c>
    </row>
    <row r="1249" spans="1:16" x14ac:dyDescent="0.4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  <c r="P1249" s="1" t="str">
        <f t="shared" si="22"/>
        <v>30-9-2022</v>
      </c>
    </row>
    <row r="1250" spans="1:16" x14ac:dyDescent="0.4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  <c r="P1250" s="1" t="str">
        <f t="shared" si="22"/>
        <v>30-9-2022</v>
      </c>
    </row>
    <row r="1251" spans="1:16" x14ac:dyDescent="0.4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  <c r="P1251" s="1" t="str">
        <f t="shared" si="22"/>
        <v>30-9-2022</v>
      </c>
    </row>
    <row r="1252" spans="1:16" x14ac:dyDescent="0.4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  <c r="P1252" s="1" t="str">
        <f t="shared" si="22"/>
        <v>1-10-2022</v>
      </c>
    </row>
    <row r="1253" spans="1:16" x14ac:dyDescent="0.4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  <c r="P1253" s="1" t="str">
        <f t="shared" si="22"/>
        <v>1-10-2022</v>
      </c>
    </row>
    <row r="1254" spans="1:16" x14ac:dyDescent="0.4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  <c r="P1254" s="1" t="str">
        <f t="shared" si="22"/>
        <v>1-10-2022</v>
      </c>
    </row>
    <row r="1255" spans="1:16" x14ac:dyDescent="0.4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  <c r="P1255" s="1" t="str">
        <f t="shared" si="22"/>
        <v>1-10-2022</v>
      </c>
    </row>
    <row r="1256" spans="1:16" x14ac:dyDescent="0.4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  <c r="P1256" s="1" t="str">
        <f t="shared" si="22"/>
        <v>2-10-2022</v>
      </c>
    </row>
    <row r="1257" spans="1:16" x14ac:dyDescent="0.4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  <c r="P1257" s="1" t="str">
        <f t="shared" si="22"/>
        <v>2-10-2022</v>
      </c>
    </row>
    <row r="1258" spans="1:16" x14ac:dyDescent="0.4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  <c r="P1258" s="1" t="str">
        <f t="shared" si="22"/>
        <v>2-10-2022</v>
      </c>
    </row>
    <row r="1259" spans="1:16" x14ac:dyDescent="0.4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  <c r="P1259" s="1" t="str">
        <f t="shared" si="22"/>
        <v>3-10-2022</v>
      </c>
    </row>
    <row r="1260" spans="1:16" x14ac:dyDescent="0.4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  <c r="P1260" s="1" t="str">
        <f t="shared" si="22"/>
        <v>3-10-2022</v>
      </c>
    </row>
    <row r="1261" spans="1:16" x14ac:dyDescent="0.4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  <c r="P1261" s="1" t="str">
        <f t="shared" si="22"/>
        <v>3-10-2022</v>
      </c>
    </row>
    <row r="1262" spans="1:16" x14ac:dyDescent="0.4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  <c r="P1262" s="1" t="str">
        <f t="shared" si="22"/>
        <v>4-10-2022</v>
      </c>
    </row>
    <row r="1263" spans="1:16" x14ac:dyDescent="0.4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  <c r="P1263" s="1" t="str">
        <f t="shared" si="22"/>
        <v>4-10-2022</v>
      </c>
    </row>
    <row r="1264" spans="1:16" x14ac:dyDescent="0.4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  <c r="P1264" s="1" t="str">
        <f t="shared" si="22"/>
        <v>4-10-2022</v>
      </c>
    </row>
    <row r="1265" spans="1:16" x14ac:dyDescent="0.4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  <c r="P1265" s="1" t="str">
        <f t="shared" si="22"/>
        <v>4-10-2022</v>
      </c>
    </row>
    <row r="1266" spans="1:16" x14ac:dyDescent="0.4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  <c r="P1266" s="1" t="str">
        <f t="shared" si="22"/>
        <v>5-10-2022</v>
      </c>
    </row>
    <row r="1267" spans="1:16" x14ac:dyDescent="0.4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  <c r="P1267" s="1" t="str">
        <f t="shared" si="22"/>
        <v>5-10-2022</v>
      </c>
    </row>
    <row r="1268" spans="1:16" x14ac:dyDescent="0.4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  <c r="P1268" s="1" t="str">
        <f t="shared" si="22"/>
        <v>5-10-2022</v>
      </c>
    </row>
    <row r="1269" spans="1:16" x14ac:dyDescent="0.4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  <c r="P1269" s="1" t="str">
        <f t="shared" si="22"/>
        <v>6-10-2022</v>
      </c>
    </row>
    <row r="1270" spans="1:16" x14ac:dyDescent="0.4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  <c r="P1270" s="1" t="str">
        <f t="shared" si="22"/>
        <v>6-10-2022</v>
      </c>
    </row>
    <row r="1271" spans="1:16" x14ac:dyDescent="0.4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  <c r="P1271" s="1" t="str">
        <f t="shared" si="22"/>
        <v>6-10-2022</v>
      </c>
    </row>
    <row r="1272" spans="1:16" x14ac:dyDescent="0.4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  <c r="P1272" s="1" t="str">
        <f t="shared" si="22"/>
        <v>7-10-2022</v>
      </c>
    </row>
    <row r="1273" spans="1:16" x14ac:dyDescent="0.4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  <c r="P1273" s="1" t="str">
        <f t="shared" si="22"/>
        <v>7-10-2022</v>
      </c>
    </row>
    <row r="1274" spans="1:16" x14ac:dyDescent="0.4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  <c r="P1274" s="1" t="str">
        <f t="shared" si="22"/>
        <v>7-10-2022</v>
      </c>
    </row>
    <row r="1275" spans="1:16" x14ac:dyDescent="0.4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  <c r="P1275" s="1" t="str">
        <f t="shared" si="22"/>
        <v>7-10-2022</v>
      </c>
    </row>
    <row r="1276" spans="1:16" x14ac:dyDescent="0.4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  <c r="P1276" s="1" t="str">
        <f t="shared" si="22"/>
        <v>8-10-2022</v>
      </c>
    </row>
    <row r="1277" spans="1:16" x14ac:dyDescent="0.4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  <c r="P1277" s="1" t="str">
        <f t="shared" si="22"/>
        <v>8-10-2022</v>
      </c>
    </row>
    <row r="1278" spans="1:16" x14ac:dyDescent="0.4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  <c r="P1278" s="1" t="str">
        <f t="shared" si="22"/>
        <v>8-10-2022</v>
      </c>
    </row>
    <row r="1279" spans="1:16" x14ac:dyDescent="0.4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  <c r="P1279" s="1" t="str">
        <f t="shared" si="22"/>
        <v>9-10-2022</v>
      </c>
    </row>
    <row r="1280" spans="1:16" x14ac:dyDescent="0.4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  <c r="P1280" s="1" t="str">
        <f t="shared" si="22"/>
        <v>9-10-2022</v>
      </c>
    </row>
    <row r="1281" spans="1:16" x14ac:dyDescent="0.4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  <c r="P1281" s="1" t="str">
        <f t="shared" si="22"/>
        <v>9-10-2022</v>
      </c>
    </row>
    <row r="1282" spans="1:16" x14ac:dyDescent="0.4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  <c r="P1282" s="1" t="str">
        <f t="shared" si="22"/>
        <v>10-10-2022</v>
      </c>
    </row>
    <row r="1283" spans="1:16" x14ac:dyDescent="0.4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  <c r="P1283" s="1" t="str">
        <f t="shared" ref="P1283:P1346" si="23">B1283&amp;"-"&amp;C1283&amp;"-"&amp;D1283</f>
        <v>10-10-2022</v>
      </c>
    </row>
    <row r="1284" spans="1:16" x14ac:dyDescent="0.4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  <c r="P1284" s="1" t="str">
        <f t="shared" si="23"/>
        <v>10-10-2022</v>
      </c>
    </row>
    <row r="1285" spans="1:16" x14ac:dyDescent="0.4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  <c r="P1285" s="1" t="str">
        <f t="shared" si="23"/>
        <v>10-10-2022</v>
      </c>
    </row>
    <row r="1286" spans="1:16" x14ac:dyDescent="0.4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  <c r="P1286" s="1" t="str">
        <f t="shared" si="23"/>
        <v>11-10-2022</v>
      </c>
    </row>
    <row r="1287" spans="1:16" x14ac:dyDescent="0.4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  <c r="P1287" s="1" t="str">
        <f t="shared" si="23"/>
        <v>11-10-2022</v>
      </c>
    </row>
    <row r="1288" spans="1:16" x14ac:dyDescent="0.4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  <c r="P1288" s="1" t="str">
        <f t="shared" si="23"/>
        <v>11-10-2022</v>
      </c>
    </row>
    <row r="1289" spans="1:16" x14ac:dyDescent="0.4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  <c r="P1289" s="1" t="str">
        <f t="shared" si="23"/>
        <v>11-10-2022</v>
      </c>
    </row>
    <row r="1290" spans="1:16" x14ac:dyDescent="0.4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  <c r="P1290" s="1" t="str">
        <f t="shared" si="23"/>
        <v>12-10-2022</v>
      </c>
    </row>
    <row r="1291" spans="1:16" x14ac:dyDescent="0.4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  <c r="P1291" s="1" t="str">
        <f t="shared" si="23"/>
        <v>12-10-2022</v>
      </c>
    </row>
    <row r="1292" spans="1:16" x14ac:dyDescent="0.4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  <c r="P1292" s="1" t="str">
        <f t="shared" si="23"/>
        <v>12-10-2022</v>
      </c>
    </row>
    <row r="1293" spans="1:16" x14ac:dyDescent="0.4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  <c r="P1293" s="1" t="str">
        <f t="shared" si="23"/>
        <v>13-10-2022</v>
      </c>
    </row>
    <row r="1294" spans="1:16" x14ac:dyDescent="0.4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  <c r="P1294" s="1" t="str">
        <f t="shared" si="23"/>
        <v>13-10-2022</v>
      </c>
    </row>
    <row r="1295" spans="1:16" x14ac:dyDescent="0.4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  <c r="P1295" s="1" t="str">
        <f t="shared" si="23"/>
        <v>13-10-2022</v>
      </c>
    </row>
    <row r="1296" spans="1:16" x14ac:dyDescent="0.4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  <c r="P1296" s="1" t="str">
        <f t="shared" si="23"/>
        <v>14-10-2022</v>
      </c>
    </row>
    <row r="1297" spans="1:16" x14ac:dyDescent="0.4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  <c r="P1297" s="1" t="str">
        <f t="shared" si="23"/>
        <v>14-10-2022</v>
      </c>
    </row>
    <row r="1298" spans="1:16" x14ac:dyDescent="0.4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  <c r="P1298" s="1" t="str">
        <f t="shared" si="23"/>
        <v>14-10-2022</v>
      </c>
    </row>
    <row r="1299" spans="1:16" x14ac:dyDescent="0.4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  <c r="P1299" s="1" t="str">
        <f t="shared" si="23"/>
        <v>14-10-2022</v>
      </c>
    </row>
    <row r="1300" spans="1:16" x14ac:dyDescent="0.4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  <c r="P1300" s="1" t="str">
        <f t="shared" si="23"/>
        <v>15-10-2022</v>
      </c>
    </row>
    <row r="1301" spans="1:16" x14ac:dyDescent="0.4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  <c r="P1301" s="1" t="str">
        <f t="shared" si="23"/>
        <v>15-10-2022</v>
      </c>
    </row>
    <row r="1302" spans="1:16" x14ac:dyDescent="0.4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  <c r="P1302" s="1" t="str">
        <f t="shared" si="23"/>
        <v>15-10-2022</v>
      </c>
    </row>
    <row r="1303" spans="1:16" x14ac:dyDescent="0.4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  <c r="P1303" s="1" t="str">
        <f t="shared" si="23"/>
        <v>15-10-2022</v>
      </c>
    </row>
    <row r="1304" spans="1:16" x14ac:dyDescent="0.4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  <c r="P1304" s="1" t="str">
        <f t="shared" si="23"/>
        <v>16-10-2022</v>
      </c>
    </row>
    <row r="1305" spans="1:16" x14ac:dyDescent="0.4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  <c r="P1305" s="1" t="str">
        <f t="shared" si="23"/>
        <v>16-10-2022</v>
      </c>
    </row>
    <row r="1306" spans="1:16" x14ac:dyDescent="0.4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  <c r="P1306" s="1" t="str">
        <f t="shared" si="23"/>
        <v>16-10-2022</v>
      </c>
    </row>
    <row r="1307" spans="1:16" x14ac:dyDescent="0.4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  <c r="P1307" s="1" t="str">
        <f t="shared" si="23"/>
        <v>16-10-2022</v>
      </c>
    </row>
    <row r="1308" spans="1:16" x14ac:dyDescent="0.4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  <c r="P1308" s="1" t="str">
        <f t="shared" si="23"/>
        <v>17-10-2022</v>
      </c>
    </row>
    <row r="1309" spans="1:16" x14ac:dyDescent="0.4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  <c r="P1309" s="1" t="str">
        <f t="shared" si="23"/>
        <v>17-10-2022</v>
      </c>
    </row>
    <row r="1310" spans="1:16" x14ac:dyDescent="0.4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  <c r="P1310" s="1" t="str">
        <f t="shared" si="23"/>
        <v>17-10-2022</v>
      </c>
    </row>
    <row r="1311" spans="1:16" x14ac:dyDescent="0.4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  <c r="P1311" s="1" t="str">
        <f t="shared" si="23"/>
        <v>17-10-2022</v>
      </c>
    </row>
    <row r="1312" spans="1:16" x14ac:dyDescent="0.4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  <c r="P1312" s="1" t="str">
        <f t="shared" si="23"/>
        <v>18-10-2022</v>
      </c>
    </row>
    <row r="1313" spans="1:16" x14ac:dyDescent="0.4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  <c r="P1313" s="1" t="str">
        <f t="shared" si="23"/>
        <v>18-10-2022</v>
      </c>
    </row>
    <row r="1314" spans="1:16" x14ac:dyDescent="0.4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  <c r="P1314" s="1" t="str">
        <f t="shared" si="23"/>
        <v>18-10-2022</v>
      </c>
    </row>
    <row r="1315" spans="1:16" x14ac:dyDescent="0.4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  <c r="P1315" s="1" t="str">
        <f t="shared" si="23"/>
        <v>19-10-2022</v>
      </c>
    </row>
    <row r="1316" spans="1:16" x14ac:dyDescent="0.4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  <c r="P1316" s="1" t="str">
        <f t="shared" si="23"/>
        <v>19-10-2022</v>
      </c>
    </row>
    <row r="1317" spans="1:16" x14ac:dyDescent="0.4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  <c r="P1317" s="1" t="str">
        <f t="shared" si="23"/>
        <v>19-10-2022</v>
      </c>
    </row>
    <row r="1318" spans="1:16" x14ac:dyDescent="0.4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  <c r="P1318" s="1" t="str">
        <f t="shared" si="23"/>
        <v>19-10-2022</v>
      </c>
    </row>
    <row r="1319" spans="1:16" x14ac:dyDescent="0.4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  <c r="P1319" s="1" t="str">
        <f t="shared" si="23"/>
        <v>20-10-2022</v>
      </c>
    </row>
    <row r="1320" spans="1:16" x14ac:dyDescent="0.4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  <c r="P1320" s="1" t="str">
        <f t="shared" si="23"/>
        <v>20-10-2022</v>
      </c>
    </row>
    <row r="1321" spans="1:16" x14ac:dyDescent="0.4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  <c r="P1321" s="1" t="str">
        <f t="shared" si="23"/>
        <v>20-10-2022</v>
      </c>
    </row>
    <row r="1322" spans="1:16" x14ac:dyDescent="0.4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  <c r="P1322" s="1" t="str">
        <f t="shared" si="23"/>
        <v>20-10-2022</v>
      </c>
    </row>
    <row r="1323" spans="1:16" x14ac:dyDescent="0.4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  <c r="P1323" s="1" t="str">
        <f t="shared" si="23"/>
        <v>21-10-2022</v>
      </c>
    </row>
    <row r="1324" spans="1:16" x14ac:dyDescent="0.4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  <c r="P1324" s="1" t="str">
        <f t="shared" si="23"/>
        <v>21-10-2022</v>
      </c>
    </row>
    <row r="1325" spans="1:16" x14ac:dyDescent="0.4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  <c r="P1325" s="1" t="str">
        <f t="shared" si="23"/>
        <v>21-10-2022</v>
      </c>
    </row>
    <row r="1326" spans="1:16" x14ac:dyDescent="0.4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  <c r="P1326" s="1" t="str">
        <f t="shared" si="23"/>
        <v>22-10-2022</v>
      </c>
    </row>
    <row r="1327" spans="1:16" x14ac:dyDescent="0.4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  <c r="P1327" s="1" t="str">
        <f t="shared" si="23"/>
        <v>22-10-2022</v>
      </c>
    </row>
    <row r="1328" spans="1:16" x14ac:dyDescent="0.4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  <c r="P1328" s="1" t="str">
        <f t="shared" si="23"/>
        <v>22-10-2022</v>
      </c>
    </row>
    <row r="1329" spans="1:16" x14ac:dyDescent="0.4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  <c r="P1329" s="1" t="str">
        <f t="shared" si="23"/>
        <v>22-10-2022</v>
      </c>
    </row>
    <row r="1330" spans="1:16" x14ac:dyDescent="0.4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  <c r="P1330" s="1" t="str">
        <f t="shared" si="23"/>
        <v>23-10-2022</v>
      </c>
    </row>
    <row r="1331" spans="1:16" x14ac:dyDescent="0.4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  <c r="P1331" s="1" t="str">
        <f t="shared" si="23"/>
        <v>23-10-2022</v>
      </c>
    </row>
    <row r="1332" spans="1:16" x14ac:dyDescent="0.4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  <c r="P1332" s="1" t="str">
        <f t="shared" si="23"/>
        <v>23-10-2022</v>
      </c>
    </row>
    <row r="1333" spans="1:16" x14ac:dyDescent="0.4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  <c r="P1333" s="1" t="str">
        <f t="shared" si="23"/>
        <v>24-10-2022</v>
      </c>
    </row>
    <row r="1334" spans="1:16" x14ac:dyDescent="0.4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  <c r="P1334" s="1" t="str">
        <f t="shared" si="23"/>
        <v>24-10-2022</v>
      </c>
    </row>
    <row r="1335" spans="1:16" x14ac:dyDescent="0.4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  <c r="P1335" s="1" t="str">
        <f t="shared" si="23"/>
        <v>24-10-2022</v>
      </c>
    </row>
    <row r="1336" spans="1:16" x14ac:dyDescent="0.4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  <c r="P1336" s="1" t="str">
        <f t="shared" si="23"/>
        <v>24-10-2022</v>
      </c>
    </row>
    <row r="1337" spans="1:16" x14ac:dyDescent="0.4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  <c r="P1337" s="1" t="str">
        <f t="shared" si="23"/>
        <v>25-10-2022</v>
      </c>
    </row>
    <row r="1338" spans="1:16" x14ac:dyDescent="0.4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  <c r="P1338" s="1" t="str">
        <f t="shared" si="23"/>
        <v>25-10-2022</v>
      </c>
    </row>
    <row r="1339" spans="1:16" x14ac:dyDescent="0.4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  <c r="P1339" s="1" t="str">
        <f t="shared" si="23"/>
        <v>25-10-2022</v>
      </c>
    </row>
    <row r="1340" spans="1:16" x14ac:dyDescent="0.4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  <c r="P1340" s="1" t="str">
        <f t="shared" si="23"/>
        <v>25-10-2022</v>
      </c>
    </row>
    <row r="1341" spans="1:16" x14ac:dyDescent="0.4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  <c r="P1341" s="1" t="str">
        <f t="shared" si="23"/>
        <v>26-10-2022</v>
      </c>
    </row>
    <row r="1342" spans="1:16" x14ac:dyDescent="0.4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  <c r="P1342" s="1" t="str">
        <f t="shared" si="23"/>
        <v>26-10-2022</v>
      </c>
    </row>
    <row r="1343" spans="1:16" x14ac:dyDescent="0.4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  <c r="P1343" s="1" t="str">
        <f t="shared" si="23"/>
        <v>26-10-2022</v>
      </c>
    </row>
    <row r="1344" spans="1:16" x14ac:dyDescent="0.4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  <c r="P1344" s="1" t="str">
        <f t="shared" si="23"/>
        <v>26-10-2022</v>
      </c>
    </row>
    <row r="1345" spans="1:16" x14ac:dyDescent="0.4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  <c r="P1345" s="1" t="str">
        <f t="shared" si="23"/>
        <v>27-10-2022</v>
      </c>
    </row>
    <row r="1346" spans="1:16" x14ac:dyDescent="0.4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  <c r="P1346" s="1" t="str">
        <f t="shared" si="23"/>
        <v>27-10-2022</v>
      </c>
    </row>
    <row r="1347" spans="1:16" x14ac:dyDescent="0.4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  <c r="P1347" s="1" t="str">
        <f t="shared" ref="P1347:P1410" si="24">B1347&amp;"-"&amp;C1347&amp;"-"&amp;D1347</f>
        <v>27-10-2022</v>
      </c>
    </row>
    <row r="1348" spans="1:16" x14ac:dyDescent="0.4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  <c r="P1348" s="1" t="str">
        <f t="shared" si="24"/>
        <v>28-10-2022</v>
      </c>
    </row>
    <row r="1349" spans="1:16" x14ac:dyDescent="0.4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  <c r="P1349" s="1" t="str">
        <f t="shared" si="24"/>
        <v>28-10-2022</v>
      </c>
    </row>
    <row r="1350" spans="1:16" x14ac:dyDescent="0.4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  <c r="P1350" s="1" t="str">
        <f t="shared" si="24"/>
        <v>28-10-2022</v>
      </c>
    </row>
    <row r="1351" spans="1:16" x14ac:dyDescent="0.4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  <c r="P1351" s="1" t="str">
        <f t="shared" si="24"/>
        <v>29-10-2022</v>
      </c>
    </row>
    <row r="1352" spans="1:16" x14ac:dyDescent="0.4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  <c r="P1352" s="1" t="str">
        <f t="shared" si="24"/>
        <v>29-10-2022</v>
      </c>
    </row>
    <row r="1353" spans="1:16" x14ac:dyDescent="0.4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  <c r="P1353" s="1" t="str">
        <f t="shared" si="24"/>
        <v>29-10-2022</v>
      </c>
    </row>
    <row r="1354" spans="1:16" x14ac:dyDescent="0.4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  <c r="P1354" s="1" t="str">
        <f t="shared" si="24"/>
        <v>29-10-2022</v>
      </c>
    </row>
    <row r="1355" spans="1:16" x14ac:dyDescent="0.4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  <c r="P1355" s="1" t="str">
        <f t="shared" si="24"/>
        <v>30-10-2022</v>
      </c>
    </row>
    <row r="1356" spans="1:16" x14ac:dyDescent="0.4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  <c r="P1356" s="1" t="str">
        <f t="shared" si="24"/>
        <v>30-10-2022</v>
      </c>
    </row>
    <row r="1357" spans="1:16" x14ac:dyDescent="0.4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  <c r="P1357" s="1" t="str">
        <f t="shared" si="24"/>
        <v>30-10-2022</v>
      </c>
    </row>
    <row r="1358" spans="1:16" x14ac:dyDescent="0.4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  <c r="P1358" s="1" t="str">
        <f t="shared" si="24"/>
        <v>31-10-2022</v>
      </c>
    </row>
    <row r="1359" spans="1:16" x14ac:dyDescent="0.4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  <c r="P1359" s="1" t="str">
        <f t="shared" si="24"/>
        <v>31-10-2022</v>
      </c>
    </row>
    <row r="1360" spans="1:16" x14ac:dyDescent="0.4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  <c r="P1360" s="1" t="str">
        <f t="shared" si="24"/>
        <v>31-10-2022</v>
      </c>
    </row>
    <row r="1361" spans="1:16" x14ac:dyDescent="0.4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  <c r="P1361" s="1" t="str">
        <f t="shared" si="24"/>
        <v>1-11-2022</v>
      </c>
    </row>
    <row r="1362" spans="1:16" x14ac:dyDescent="0.4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  <c r="P1362" s="1" t="str">
        <f t="shared" si="24"/>
        <v>1-11-2022</v>
      </c>
    </row>
    <row r="1363" spans="1:16" x14ac:dyDescent="0.4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  <c r="P1363" s="1" t="str">
        <f t="shared" si="24"/>
        <v>1-11-2022</v>
      </c>
    </row>
    <row r="1364" spans="1:16" x14ac:dyDescent="0.4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  <c r="P1364" s="1" t="str">
        <f t="shared" si="24"/>
        <v>2-11-2022</v>
      </c>
    </row>
    <row r="1365" spans="1:16" x14ac:dyDescent="0.4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  <c r="P1365" s="1" t="str">
        <f t="shared" si="24"/>
        <v>2-11-2022</v>
      </c>
    </row>
    <row r="1366" spans="1:16" x14ac:dyDescent="0.4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  <c r="P1366" s="1" t="str">
        <f t="shared" si="24"/>
        <v>2-11-2022</v>
      </c>
    </row>
    <row r="1367" spans="1:16" x14ac:dyDescent="0.4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  <c r="P1367" s="1" t="str">
        <f t="shared" si="24"/>
        <v>3-11-2022</v>
      </c>
    </row>
    <row r="1368" spans="1:16" x14ac:dyDescent="0.4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  <c r="P1368" s="1" t="str">
        <f t="shared" si="24"/>
        <v>3-11-2022</v>
      </c>
    </row>
    <row r="1369" spans="1:16" x14ac:dyDescent="0.4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  <c r="P1369" s="1" t="str">
        <f t="shared" si="24"/>
        <v>3-11-2022</v>
      </c>
    </row>
    <row r="1370" spans="1:16" x14ac:dyDescent="0.4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  <c r="P1370" s="1" t="str">
        <f t="shared" si="24"/>
        <v>4-11-2022</v>
      </c>
    </row>
    <row r="1371" spans="1:16" x14ac:dyDescent="0.4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  <c r="P1371" s="1" t="str">
        <f t="shared" si="24"/>
        <v>4-11-2022</v>
      </c>
    </row>
    <row r="1372" spans="1:16" x14ac:dyDescent="0.4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  <c r="P1372" s="1" t="str">
        <f t="shared" si="24"/>
        <v>4-11-2022</v>
      </c>
    </row>
    <row r="1373" spans="1:16" x14ac:dyDescent="0.4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  <c r="P1373" s="1" t="str">
        <f t="shared" si="24"/>
        <v>5-11-2022</v>
      </c>
    </row>
    <row r="1374" spans="1:16" x14ac:dyDescent="0.4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  <c r="P1374" s="1" t="str">
        <f t="shared" si="24"/>
        <v>5-11-2022</v>
      </c>
    </row>
    <row r="1375" spans="1:16" x14ac:dyDescent="0.4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  <c r="P1375" s="1" t="str">
        <f t="shared" si="24"/>
        <v>5-11-2022</v>
      </c>
    </row>
    <row r="1376" spans="1:16" x14ac:dyDescent="0.4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  <c r="P1376" s="1" t="str">
        <f t="shared" si="24"/>
        <v>5-11-2022</v>
      </c>
    </row>
    <row r="1377" spans="1:16" x14ac:dyDescent="0.4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  <c r="P1377" s="1" t="str">
        <f t="shared" si="24"/>
        <v>6-11-2022</v>
      </c>
    </row>
    <row r="1378" spans="1:16" x14ac:dyDescent="0.4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  <c r="P1378" s="1" t="str">
        <f t="shared" si="24"/>
        <v>6-11-2022</v>
      </c>
    </row>
    <row r="1379" spans="1:16" x14ac:dyDescent="0.4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  <c r="P1379" s="1" t="str">
        <f t="shared" si="24"/>
        <v>6-11-2022</v>
      </c>
    </row>
    <row r="1380" spans="1:16" x14ac:dyDescent="0.4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  <c r="P1380" s="1" t="str">
        <f t="shared" si="24"/>
        <v>6-11-2022</v>
      </c>
    </row>
    <row r="1381" spans="1:16" x14ac:dyDescent="0.4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  <c r="P1381" s="1" t="str">
        <f t="shared" si="24"/>
        <v>7-11-2022</v>
      </c>
    </row>
    <row r="1382" spans="1:16" x14ac:dyDescent="0.4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  <c r="P1382" s="1" t="str">
        <f t="shared" si="24"/>
        <v>7-11-2022</v>
      </c>
    </row>
    <row r="1383" spans="1:16" x14ac:dyDescent="0.4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  <c r="P1383" s="1" t="str">
        <f t="shared" si="24"/>
        <v>7-11-2022</v>
      </c>
    </row>
    <row r="1384" spans="1:16" x14ac:dyDescent="0.4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  <c r="P1384" s="1" t="str">
        <f t="shared" si="24"/>
        <v>8-11-2022</v>
      </c>
    </row>
    <row r="1385" spans="1:16" x14ac:dyDescent="0.4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  <c r="P1385" s="1" t="str">
        <f t="shared" si="24"/>
        <v>8-11-2022</v>
      </c>
    </row>
    <row r="1386" spans="1:16" x14ac:dyDescent="0.4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  <c r="P1386" s="1" t="str">
        <f t="shared" si="24"/>
        <v>8-11-2022</v>
      </c>
    </row>
    <row r="1387" spans="1:16" x14ac:dyDescent="0.4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  <c r="P1387" s="1" t="str">
        <f t="shared" si="24"/>
        <v>8-11-2022</v>
      </c>
    </row>
    <row r="1388" spans="1:16" x14ac:dyDescent="0.4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  <c r="P1388" s="1" t="str">
        <f t="shared" si="24"/>
        <v>9-11-2022</v>
      </c>
    </row>
    <row r="1389" spans="1:16" x14ac:dyDescent="0.4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  <c r="P1389" s="1" t="str">
        <f t="shared" si="24"/>
        <v>9-11-2022</v>
      </c>
    </row>
    <row r="1390" spans="1:16" x14ac:dyDescent="0.4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  <c r="P1390" s="1" t="str">
        <f t="shared" si="24"/>
        <v>9-11-2022</v>
      </c>
    </row>
    <row r="1391" spans="1:16" x14ac:dyDescent="0.4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  <c r="P1391" s="1" t="str">
        <f t="shared" si="24"/>
        <v>9-11-2022</v>
      </c>
    </row>
    <row r="1392" spans="1:16" x14ac:dyDescent="0.4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  <c r="P1392" s="1" t="str">
        <f t="shared" si="24"/>
        <v>10-11-2022</v>
      </c>
    </row>
    <row r="1393" spans="1:16" x14ac:dyDescent="0.4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  <c r="P1393" s="1" t="str">
        <f t="shared" si="24"/>
        <v>10-11-2022</v>
      </c>
    </row>
    <row r="1394" spans="1:16" x14ac:dyDescent="0.4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  <c r="P1394" s="1" t="str">
        <f t="shared" si="24"/>
        <v>10-11-2022</v>
      </c>
    </row>
    <row r="1395" spans="1:16" x14ac:dyDescent="0.4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  <c r="P1395" s="1" t="str">
        <f t="shared" si="24"/>
        <v>10-11-2022</v>
      </c>
    </row>
    <row r="1396" spans="1:16" x14ac:dyDescent="0.4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  <c r="P1396" s="1" t="str">
        <f t="shared" si="24"/>
        <v>11-11-2022</v>
      </c>
    </row>
    <row r="1397" spans="1:16" x14ac:dyDescent="0.4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  <c r="P1397" s="1" t="str">
        <f t="shared" si="24"/>
        <v>11-11-2022</v>
      </c>
    </row>
    <row r="1398" spans="1:16" x14ac:dyDescent="0.4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  <c r="P1398" s="1" t="str">
        <f t="shared" si="24"/>
        <v>11-11-2022</v>
      </c>
    </row>
    <row r="1399" spans="1:16" x14ac:dyDescent="0.4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  <c r="P1399" s="1" t="str">
        <f t="shared" si="24"/>
        <v>11-11-2022</v>
      </c>
    </row>
    <row r="1400" spans="1:16" x14ac:dyDescent="0.4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  <c r="P1400" s="1" t="str">
        <f t="shared" si="24"/>
        <v>12-11-2022</v>
      </c>
    </row>
    <row r="1401" spans="1:16" x14ac:dyDescent="0.4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  <c r="P1401" s="1" t="str">
        <f t="shared" si="24"/>
        <v>12-11-2022</v>
      </c>
    </row>
    <row r="1402" spans="1:16" x14ac:dyDescent="0.4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  <c r="P1402" s="1" t="str">
        <f t="shared" si="24"/>
        <v>12-11-2022</v>
      </c>
    </row>
    <row r="1403" spans="1:16" x14ac:dyDescent="0.4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  <c r="P1403" s="1" t="str">
        <f t="shared" si="24"/>
        <v>13-11-2022</v>
      </c>
    </row>
    <row r="1404" spans="1:16" x14ac:dyDescent="0.4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  <c r="P1404" s="1" t="str">
        <f t="shared" si="24"/>
        <v>13-11-2022</v>
      </c>
    </row>
    <row r="1405" spans="1:16" x14ac:dyDescent="0.4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  <c r="P1405" s="1" t="str">
        <f t="shared" si="24"/>
        <v>13-11-2022</v>
      </c>
    </row>
    <row r="1406" spans="1:16" x14ac:dyDescent="0.4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  <c r="P1406" s="1" t="str">
        <f t="shared" si="24"/>
        <v>13-11-2022</v>
      </c>
    </row>
    <row r="1407" spans="1:16" x14ac:dyDescent="0.4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  <c r="P1407" s="1" t="str">
        <f t="shared" si="24"/>
        <v>14-11-2022</v>
      </c>
    </row>
    <row r="1408" spans="1:16" x14ac:dyDescent="0.4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  <c r="P1408" s="1" t="str">
        <f t="shared" si="24"/>
        <v>14-11-2022</v>
      </c>
    </row>
    <row r="1409" spans="1:16" x14ac:dyDescent="0.4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  <c r="P1409" s="1" t="str">
        <f t="shared" si="24"/>
        <v>14-11-2022</v>
      </c>
    </row>
    <row r="1410" spans="1:16" x14ac:dyDescent="0.4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  <c r="P1410" s="1" t="str">
        <f t="shared" si="24"/>
        <v>14-11-2022</v>
      </c>
    </row>
    <row r="1411" spans="1:16" x14ac:dyDescent="0.4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  <c r="P1411" s="1" t="str">
        <f t="shared" ref="P1411:P1474" si="25">B1411&amp;"-"&amp;C1411&amp;"-"&amp;D1411</f>
        <v>15-11-2022</v>
      </c>
    </row>
    <row r="1412" spans="1:16" x14ac:dyDescent="0.4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  <c r="P1412" s="1" t="str">
        <f t="shared" si="25"/>
        <v>15-11-2022</v>
      </c>
    </row>
    <row r="1413" spans="1:16" x14ac:dyDescent="0.4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  <c r="P1413" s="1" t="str">
        <f t="shared" si="25"/>
        <v>15-11-2022</v>
      </c>
    </row>
    <row r="1414" spans="1:16" x14ac:dyDescent="0.4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  <c r="P1414" s="1" t="str">
        <f t="shared" si="25"/>
        <v>16-11-2022</v>
      </c>
    </row>
    <row r="1415" spans="1:16" x14ac:dyDescent="0.4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  <c r="P1415" s="1" t="str">
        <f t="shared" si="25"/>
        <v>16-11-2022</v>
      </c>
    </row>
    <row r="1416" spans="1:16" x14ac:dyDescent="0.4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  <c r="P1416" s="1" t="str">
        <f t="shared" si="25"/>
        <v>16-11-2022</v>
      </c>
    </row>
    <row r="1417" spans="1:16" x14ac:dyDescent="0.4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  <c r="P1417" s="1" t="str">
        <f t="shared" si="25"/>
        <v>17-11-2022</v>
      </c>
    </row>
    <row r="1418" spans="1:16" x14ac:dyDescent="0.4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  <c r="P1418" s="1" t="str">
        <f t="shared" si="25"/>
        <v>17-11-2022</v>
      </c>
    </row>
    <row r="1419" spans="1:16" x14ac:dyDescent="0.4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  <c r="P1419" s="1" t="str">
        <f t="shared" si="25"/>
        <v>17-11-2022</v>
      </c>
    </row>
    <row r="1420" spans="1:16" x14ac:dyDescent="0.4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  <c r="P1420" s="1" t="str">
        <f t="shared" si="25"/>
        <v>17-11-2022</v>
      </c>
    </row>
    <row r="1421" spans="1:16" x14ac:dyDescent="0.4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  <c r="P1421" s="1" t="str">
        <f t="shared" si="25"/>
        <v>18-11-2022</v>
      </c>
    </row>
    <row r="1422" spans="1:16" x14ac:dyDescent="0.4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  <c r="P1422" s="1" t="str">
        <f t="shared" si="25"/>
        <v>18-11-2022</v>
      </c>
    </row>
    <row r="1423" spans="1:16" x14ac:dyDescent="0.4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  <c r="P1423" s="1" t="str">
        <f t="shared" si="25"/>
        <v>18-11-2022</v>
      </c>
    </row>
    <row r="1424" spans="1:16" x14ac:dyDescent="0.4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  <c r="P1424" s="1" t="str">
        <f t="shared" si="25"/>
        <v>18-11-2022</v>
      </c>
    </row>
    <row r="1425" spans="1:16" x14ac:dyDescent="0.4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  <c r="P1425" s="1" t="str">
        <f t="shared" si="25"/>
        <v>19-11-2022</v>
      </c>
    </row>
    <row r="1426" spans="1:16" x14ac:dyDescent="0.4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  <c r="P1426" s="1" t="str">
        <f t="shared" si="25"/>
        <v>19-11-2022</v>
      </c>
    </row>
    <row r="1427" spans="1:16" x14ac:dyDescent="0.4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  <c r="P1427" s="1" t="str">
        <f t="shared" si="25"/>
        <v>19-11-2022</v>
      </c>
    </row>
    <row r="1428" spans="1:16" x14ac:dyDescent="0.4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  <c r="P1428" s="1" t="str">
        <f t="shared" si="25"/>
        <v>19-11-2022</v>
      </c>
    </row>
    <row r="1429" spans="1:16" x14ac:dyDescent="0.4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  <c r="P1429" s="1" t="str">
        <f t="shared" si="25"/>
        <v>20-11-2022</v>
      </c>
    </row>
    <row r="1430" spans="1:16" x14ac:dyDescent="0.4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  <c r="P1430" s="1" t="str">
        <f t="shared" si="25"/>
        <v>20-11-2022</v>
      </c>
    </row>
    <row r="1431" spans="1:16" x14ac:dyDescent="0.4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  <c r="P1431" s="1" t="str">
        <f t="shared" si="25"/>
        <v>20-11-2022</v>
      </c>
    </row>
    <row r="1432" spans="1:16" x14ac:dyDescent="0.4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  <c r="P1432" s="1" t="str">
        <f t="shared" si="25"/>
        <v>20-11-2022</v>
      </c>
    </row>
    <row r="1433" spans="1:16" x14ac:dyDescent="0.4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  <c r="P1433" s="1" t="str">
        <f t="shared" si="25"/>
        <v>21-11-2022</v>
      </c>
    </row>
    <row r="1434" spans="1:16" x14ac:dyDescent="0.4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  <c r="P1434" s="1" t="str">
        <f t="shared" si="25"/>
        <v>21-11-2022</v>
      </c>
    </row>
    <row r="1435" spans="1:16" x14ac:dyDescent="0.4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  <c r="P1435" s="1" t="str">
        <f t="shared" si="25"/>
        <v>21-11-2022</v>
      </c>
    </row>
    <row r="1436" spans="1:16" x14ac:dyDescent="0.4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  <c r="P1436" s="1" t="str">
        <f t="shared" si="25"/>
        <v>21-11-2022</v>
      </c>
    </row>
    <row r="1437" spans="1:16" x14ac:dyDescent="0.4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  <c r="P1437" s="1" t="str">
        <f t="shared" si="25"/>
        <v>22-11-2022</v>
      </c>
    </row>
    <row r="1438" spans="1:16" x14ac:dyDescent="0.4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  <c r="P1438" s="1" t="str">
        <f t="shared" si="25"/>
        <v>22-11-2022</v>
      </c>
    </row>
    <row r="1439" spans="1:16" x14ac:dyDescent="0.4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  <c r="P1439" s="1" t="str">
        <f t="shared" si="25"/>
        <v>22-11-2022</v>
      </c>
    </row>
    <row r="1440" spans="1:16" x14ac:dyDescent="0.4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  <c r="P1440" s="1" t="str">
        <f t="shared" si="25"/>
        <v>22-11-2022</v>
      </c>
    </row>
    <row r="1441" spans="1:16" x14ac:dyDescent="0.4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  <c r="P1441" s="1" t="str">
        <f t="shared" si="25"/>
        <v>23-11-2022</v>
      </c>
    </row>
    <row r="1442" spans="1:16" x14ac:dyDescent="0.4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  <c r="P1442" s="1" t="str">
        <f t="shared" si="25"/>
        <v>23-11-2022</v>
      </c>
    </row>
    <row r="1443" spans="1:16" x14ac:dyDescent="0.4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  <c r="P1443" s="1" t="str">
        <f t="shared" si="25"/>
        <v>23-11-2022</v>
      </c>
    </row>
    <row r="1444" spans="1:16" x14ac:dyDescent="0.4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  <c r="P1444" s="1" t="str">
        <f t="shared" si="25"/>
        <v>24-11-2022</v>
      </c>
    </row>
    <row r="1445" spans="1:16" x14ac:dyDescent="0.4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  <c r="P1445" s="1" t="str">
        <f t="shared" si="25"/>
        <v>24-11-2022</v>
      </c>
    </row>
    <row r="1446" spans="1:16" x14ac:dyDescent="0.4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  <c r="P1446" s="1" t="str">
        <f t="shared" si="25"/>
        <v>24-11-2022</v>
      </c>
    </row>
    <row r="1447" spans="1:16" x14ac:dyDescent="0.4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  <c r="P1447" s="1" t="str">
        <f t="shared" si="25"/>
        <v>24-11-2022</v>
      </c>
    </row>
    <row r="1448" spans="1:16" x14ac:dyDescent="0.4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  <c r="P1448" s="1" t="str">
        <f t="shared" si="25"/>
        <v>25-11-2022</v>
      </c>
    </row>
    <row r="1449" spans="1:16" x14ac:dyDescent="0.4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  <c r="P1449" s="1" t="str">
        <f t="shared" si="25"/>
        <v>25-11-2022</v>
      </c>
    </row>
    <row r="1450" spans="1:16" x14ac:dyDescent="0.4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  <c r="P1450" s="1" t="str">
        <f t="shared" si="25"/>
        <v>25-11-2022</v>
      </c>
    </row>
    <row r="1451" spans="1:16" x14ac:dyDescent="0.4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  <c r="P1451" s="1" t="str">
        <f t="shared" si="25"/>
        <v>25-11-2022</v>
      </c>
    </row>
    <row r="1452" spans="1:16" x14ac:dyDescent="0.4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  <c r="P1452" s="1" t="str">
        <f t="shared" si="25"/>
        <v>26-11-2022</v>
      </c>
    </row>
    <row r="1453" spans="1:16" x14ac:dyDescent="0.4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  <c r="P1453" s="1" t="str">
        <f t="shared" si="25"/>
        <v>26-11-2022</v>
      </c>
    </row>
    <row r="1454" spans="1:16" x14ac:dyDescent="0.4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  <c r="P1454" s="1" t="str">
        <f t="shared" si="25"/>
        <v>26-11-2022</v>
      </c>
    </row>
    <row r="1455" spans="1:16" x14ac:dyDescent="0.4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  <c r="P1455" s="1" t="str">
        <f t="shared" si="25"/>
        <v>27-11-2022</v>
      </c>
    </row>
    <row r="1456" spans="1:16" x14ac:dyDescent="0.4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  <c r="P1456" s="1" t="str">
        <f t="shared" si="25"/>
        <v>27-11-2022</v>
      </c>
    </row>
    <row r="1457" spans="1:16" x14ac:dyDescent="0.4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  <c r="P1457" s="1" t="str">
        <f t="shared" si="25"/>
        <v>27-11-2022</v>
      </c>
    </row>
    <row r="1458" spans="1:16" x14ac:dyDescent="0.4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  <c r="P1458" s="1" t="str">
        <f t="shared" si="25"/>
        <v>28-11-2022</v>
      </c>
    </row>
    <row r="1459" spans="1:16" x14ac:dyDescent="0.4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  <c r="P1459" s="1" t="str">
        <f t="shared" si="25"/>
        <v>28-11-2022</v>
      </c>
    </row>
    <row r="1460" spans="1:16" x14ac:dyDescent="0.4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  <c r="P1460" s="1" t="str">
        <f t="shared" si="25"/>
        <v>28-11-2022</v>
      </c>
    </row>
    <row r="1461" spans="1:16" x14ac:dyDescent="0.4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  <c r="P1461" s="1" t="str">
        <f t="shared" si="25"/>
        <v>29-11-2022</v>
      </c>
    </row>
    <row r="1462" spans="1:16" x14ac:dyDescent="0.4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  <c r="P1462" s="1" t="str">
        <f t="shared" si="25"/>
        <v>29-11-2022</v>
      </c>
    </row>
    <row r="1463" spans="1:16" x14ac:dyDescent="0.4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  <c r="P1463" s="1" t="str">
        <f t="shared" si="25"/>
        <v>29-11-2022</v>
      </c>
    </row>
    <row r="1464" spans="1:16" x14ac:dyDescent="0.4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  <c r="P1464" s="1" t="str">
        <f t="shared" si="25"/>
        <v>30-11-2022</v>
      </c>
    </row>
    <row r="1465" spans="1:16" x14ac:dyDescent="0.4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  <c r="P1465" s="1" t="str">
        <f t="shared" si="25"/>
        <v>30-11-2022</v>
      </c>
    </row>
    <row r="1466" spans="1:16" x14ac:dyDescent="0.4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  <c r="P1466" s="1" t="str">
        <f t="shared" si="25"/>
        <v>30-11-2022</v>
      </c>
    </row>
    <row r="1467" spans="1:16" x14ac:dyDescent="0.4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  <c r="P1467" s="1" t="str">
        <f t="shared" si="25"/>
        <v>30-11-2022</v>
      </c>
    </row>
    <row r="1468" spans="1:16" x14ac:dyDescent="0.4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  <c r="P1468" s="1" t="str">
        <f t="shared" si="25"/>
        <v>1-12-2022</v>
      </c>
    </row>
    <row r="1469" spans="1:16" x14ac:dyDescent="0.4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  <c r="P1469" s="1" t="str">
        <f t="shared" si="25"/>
        <v>1-12-2022</v>
      </c>
    </row>
    <row r="1470" spans="1:16" x14ac:dyDescent="0.4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  <c r="P1470" s="1" t="str">
        <f t="shared" si="25"/>
        <v>1-12-2022</v>
      </c>
    </row>
    <row r="1471" spans="1:16" x14ac:dyDescent="0.4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  <c r="P1471" s="1" t="str">
        <f t="shared" si="25"/>
        <v>1-12-2022</v>
      </c>
    </row>
    <row r="1472" spans="1:16" x14ac:dyDescent="0.4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  <c r="P1472" s="1" t="str">
        <f t="shared" si="25"/>
        <v>2-12-2022</v>
      </c>
    </row>
    <row r="1473" spans="1:16" x14ac:dyDescent="0.4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  <c r="P1473" s="1" t="str">
        <f t="shared" si="25"/>
        <v>2-12-2022</v>
      </c>
    </row>
    <row r="1474" spans="1:16" x14ac:dyDescent="0.4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  <c r="P1474" s="1" t="str">
        <f t="shared" si="25"/>
        <v>2-12-2022</v>
      </c>
    </row>
    <row r="1475" spans="1:16" x14ac:dyDescent="0.4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  <c r="P1475" s="1" t="str">
        <f t="shared" ref="P1475:P1538" si="26">B1475&amp;"-"&amp;C1475&amp;"-"&amp;D1475</f>
        <v>2-12-2022</v>
      </c>
    </row>
    <row r="1476" spans="1:16" x14ac:dyDescent="0.4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  <c r="P1476" s="1" t="str">
        <f t="shared" si="26"/>
        <v>3-12-2022</v>
      </c>
    </row>
    <row r="1477" spans="1:16" x14ac:dyDescent="0.4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  <c r="P1477" s="1" t="str">
        <f t="shared" si="26"/>
        <v>3-12-2022</v>
      </c>
    </row>
    <row r="1478" spans="1:16" x14ac:dyDescent="0.4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  <c r="P1478" s="1" t="str">
        <f t="shared" si="26"/>
        <v>3-12-2022</v>
      </c>
    </row>
    <row r="1479" spans="1:16" x14ac:dyDescent="0.4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  <c r="P1479" s="1" t="str">
        <f t="shared" si="26"/>
        <v>3-12-2022</v>
      </c>
    </row>
    <row r="1480" spans="1:16" x14ac:dyDescent="0.4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  <c r="P1480" s="1" t="str">
        <f t="shared" si="26"/>
        <v>4-12-2022</v>
      </c>
    </row>
    <row r="1481" spans="1:16" x14ac:dyDescent="0.4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  <c r="P1481" s="1" t="str">
        <f t="shared" si="26"/>
        <v>4-12-2022</v>
      </c>
    </row>
    <row r="1482" spans="1:16" x14ac:dyDescent="0.4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  <c r="P1482" s="1" t="str">
        <f t="shared" si="26"/>
        <v>4-12-2022</v>
      </c>
    </row>
    <row r="1483" spans="1:16" x14ac:dyDescent="0.4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  <c r="P1483" s="1" t="str">
        <f t="shared" si="26"/>
        <v>4-12-2022</v>
      </c>
    </row>
    <row r="1484" spans="1:16" x14ac:dyDescent="0.4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  <c r="P1484" s="1" t="str">
        <f t="shared" si="26"/>
        <v>5-12-2022</v>
      </c>
    </row>
    <row r="1485" spans="1:16" x14ac:dyDescent="0.4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  <c r="P1485" s="1" t="str">
        <f t="shared" si="26"/>
        <v>5-12-2022</v>
      </c>
    </row>
    <row r="1486" spans="1:16" x14ac:dyDescent="0.4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  <c r="P1486" s="1" t="str">
        <f t="shared" si="26"/>
        <v>5-12-2022</v>
      </c>
    </row>
    <row r="1487" spans="1:16" x14ac:dyDescent="0.4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  <c r="P1487" s="1" t="str">
        <f t="shared" si="26"/>
        <v>5-12-2022</v>
      </c>
    </row>
    <row r="1488" spans="1:16" x14ac:dyDescent="0.4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  <c r="P1488" s="1" t="str">
        <f t="shared" si="26"/>
        <v>6-12-2022</v>
      </c>
    </row>
    <row r="1489" spans="1:16" x14ac:dyDescent="0.4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  <c r="P1489" s="1" t="str">
        <f t="shared" si="26"/>
        <v>6-12-2022</v>
      </c>
    </row>
    <row r="1490" spans="1:16" x14ac:dyDescent="0.4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  <c r="P1490" s="1" t="str">
        <f t="shared" si="26"/>
        <v>6-12-2022</v>
      </c>
    </row>
    <row r="1491" spans="1:16" x14ac:dyDescent="0.4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  <c r="P1491" s="1" t="str">
        <f t="shared" si="26"/>
        <v>7-12-2022</v>
      </c>
    </row>
    <row r="1492" spans="1:16" x14ac:dyDescent="0.4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  <c r="P1492" s="1" t="str">
        <f t="shared" si="26"/>
        <v>7-12-2022</v>
      </c>
    </row>
    <row r="1493" spans="1:16" x14ac:dyDescent="0.4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  <c r="P1493" s="1" t="str">
        <f t="shared" si="26"/>
        <v>7-12-2022</v>
      </c>
    </row>
    <row r="1494" spans="1:16" x14ac:dyDescent="0.4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  <c r="P1494" s="1" t="str">
        <f t="shared" si="26"/>
        <v>7-12-2022</v>
      </c>
    </row>
    <row r="1495" spans="1:16" x14ac:dyDescent="0.4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  <c r="P1495" s="1" t="str">
        <f t="shared" si="26"/>
        <v>8-12-2022</v>
      </c>
    </row>
    <row r="1496" spans="1:16" x14ac:dyDescent="0.4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  <c r="P1496" s="1" t="str">
        <f t="shared" si="26"/>
        <v>8-12-2022</v>
      </c>
    </row>
    <row r="1497" spans="1:16" x14ac:dyDescent="0.4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  <c r="P1497" s="1" t="str">
        <f t="shared" si="26"/>
        <v>8-12-2022</v>
      </c>
    </row>
    <row r="1498" spans="1:16" x14ac:dyDescent="0.4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  <c r="P1498" s="1" t="str">
        <f t="shared" si="26"/>
        <v>9-12-2022</v>
      </c>
    </row>
    <row r="1499" spans="1:16" x14ac:dyDescent="0.4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  <c r="P1499" s="1" t="str">
        <f t="shared" si="26"/>
        <v>9-12-2022</v>
      </c>
    </row>
    <row r="1500" spans="1:16" x14ac:dyDescent="0.4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  <c r="P1500" s="1" t="str">
        <f t="shared" si="26"/>
        <v>9-12-2022</v>
      </c>
    </row>
    <row r="1501" spans="1:16" x14ac:dyDescent="0.4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  <c r="P1501" s="1" t="str">
        <f t="shared" si="26"/>
        <v>10-12-2022</v>
      </c>
    </row>
    <row r="1502" spans="1:16" x14ac:dyDescent="0.4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  <c r="P1502" s="1" t="str">
        <f t="shared" si="26"/>
        <v>10-12-2022</v>
      </c>
    </row>
    <row r="1503" spans="1:16" x14ac:dyDescent="0.4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  <c r="P1503" s="1" t="str">
        <f t="shared" si="26"/>
        <v>10-12-2022</v>
      </c>
    </row>
    <row r="1504" spans="1:16" x14ac:dyDescent="0.4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  <c r="P1504" s="1" t="str">
        <f t="shared" si="26"/>
        <v>10-12-2022</v>
      </c>
    </row>
    <row r="1505" spans="1:16" x14ac:dyDescent="0.4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  <c r="P1505" s="1" t="str">
        <f t="shared" si="26"/>
        <v>11-12-2022</v>
      </c>
    </row>
    <row r="1506" spans="1:16" x14ac:dyDescent="0.4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  <c r="P1506" s="1" t="str">
        <f t="shared" si="26"/>
        <v>11-12-2022</v>
      </c>
    </row>
    <row r="1507" spans="1:16" x14ac:dyDescent="0.4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  <c r="P1507" s="1" t="str">
        <f t="shared" si="26"/>
        <v>11-12-2022</v>
      </c>
    </row>
    <row r="1508" spans="1:16" x14ac:dyDescent="0.4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  <c r="P1508" s="1" t="str">
        <f t="shared" si="26"/>
        <v>12-12-2022</v>
      </c>
    </row>
    <row r="1509" spans="1:16" x14ac:dyDescent="0.4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  <c r="P1509" s="1" t="str">
        <f t="shared" si="26"/>
        <v>12-12-2022</v>
      </c>
    </row>
    <row r="1510" spans="1:16" x14ac:dyDescent="0.4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  <c r="P1510" s="1" t="str">
        <f t="shared" si="26"/>
        <v>12-12-2022</v>
      </c>
    </row>
    <row r="1511" spans="1:16" x14ac:dyDescent="0.4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  <c r="P1511" s="1" t="str">
        <f t="shared" si="26"/>
        <v>12-12-2022</v>
      </c>
    </row>
    <row r="1512" spans="1:16" x14ac:dyDescent="0.4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  <c r="P1512" s="1" t="str">
        <f t="shared" si="26"/>
        <v>13-12-2022</v>
      </c>
    </row>
    <row r="1513" spans="1:16" x14ac:dyDescent="0.4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  <c r="P1513" s="1" t="str">
        <f t="shared" si="26"/>
        <v>13-12-2022</v>
      </c>
    </row>
    <row r="1514" spans="1:16" x14ac:dyDescent="0.4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  <c r="P1514" s="1" t="str">
        <f t="shared" si="26"/>
        <v>13-12-2022</v>
      </c>
    </row>
    <row r="1515" spans="1:16" x14ac:dyDescent="0.4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  <c r="P1515" s="1" t="str">
        <f t="shared" si="26"/>
        <v>14-12-2022</v>
      </c>
    </row>
    <row r="1516" spans="1:16" x14ac:dyDescent="0.4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  <c r="P1516" s="1" t="str">
        <f t="shared" si="26"/>
        <v>14-12-2022</v>
      </c>
    </row>
    <row r="1517" spans="1:16" x14ac:dyDescent="0.4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  <c r="P1517" s="1" t="str">
        <f t="shared" si="26"/>
        <v>14-12-2022</v>
      </c>
    </row>
    <row r="1518" spans="1:16" x14ac:dyDescent="0.4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  <c r="P1518" s="1" t="str">
        <f t="shared" si="26"/>
        <v>14-12-2022</v>
      </c>
    </row>
    <row r="1519" spans="1:16" x14ac:dyDescent="0.4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  <c r="P1519" s="1" t="str">
        <f t="shared" si="26"/>
        <v>15-12-2022</v>
      </c>
    </row>
    <row r="1520" spans="1:16" x14ac:dyDescent="0.4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  <c r="P1520" s="1" t="str">
        <f t="shared" si="26"/>
        <v>15-12-2022</v>
      </c>
    </row>
    <row r="1521" spans="1:16" x14ac:dyDescent="0.4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  <c r="P1521" s="1" t="str">
        <f t="shared" si="26"/>
        <v>15-12-2022</v>
      </c>
    </row>
    <row r="1522" spans="1:16" x14ac:dyDescent="0.4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  <c r="P1522" s="1" t="str">
        <f t="shared" si="26"/>
        <v>16-12-2022</v>
      </c>
    </row>
    <row r="1523" spans="1:16" x14ac:dyDescent="0.4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  <c r="P1523" s="1" t="str">
        <f t="shared" si="26"/>
        <v>16-12-2022</v>
      </c>
    </row>
    <row r="1524" spans="1:16" x14ac:dyDescent="0.4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  <c r="P1524" s="1" t="str">
        <f t="shared" si="26"/>
        <v>16-12-2022</v>
      </c>
    </row>
    <row r="1525" spans="1:16" x14ac:dyDescent="0.4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  <c r="P1525" s="1" t="str">
        <f t="shared" si="26"/>
        <v>16-12-2022</v>
      </c>
    </row>
    <row r="1526" spans="1:16" x14ac:dyDescent="0.4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  <c r="P1526" s="1" t="str">
        <f t="shared" si="26"/>
        <v>17-12-2022</v>
      </c>
    </row>
    <row r="1527" spans="1:16" x14ac:dyDescent="0.4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  <c r="P1527" s="1" t="str">
        <f t="shared" si="26"/>
        <v>17-12-2022</v>
      </c>
    </row>
    <row r="1528" spans="1:16" x14ac:dyDescent="0.4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  <c r="P1528" s="1" t="str">
        <f t="shared" si="26"/>
        <v>17-12-2022</v>
      </c>
    </row>
    <row r="1529" spans="1:16" x14ac:dyDescent="0.4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  <c r="P1529" s="1" t="str">
        <f t="shared" si="26"/>
        <v>17-12-2022</v>
      </c>
    </row>
    <row r="1530" spans="1:16" x14ac:dyDescent="0.4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  <c r="P1530" s="1" t="str">
        <f t="shared" si="26"/>
        <v>18-12-2022</v>
      </c>
    </row>
    <row r="1531" spans="1:16" x14ac:dyDescent="0.4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  <c r="P1531" s="1" t="str">
        <f t="shared" si="26"/>
        <v>18-12-2022</v>
      </c>
    </row>
    <row r="1532" spans="1:16" x14ac:dyDescent="0.4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  <c r="P1532" s="1" t="str">
        <f t="shared" si="26"/>
        <v>18-12-2022</v>
      </c>
    </row>
    <row r="1533" spans="1:16" x14ac:dyDescent="0.4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  <c r="P1533" s="1" t="str">
        <f t="shared" si="26"/>
        <v>18-12-2022</v>
      </c>
    </row>
    <row r="1534" spans="1:16" x14ac:dyDescent="0.4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  <c r="P1534" s="1" t="str">
        <f t="shared" si="26"/>
        <v>19-12-2022</v>
      </c>
    </row>
    <row r="1535" spans="1:16" x14ac:dyDescent="0.4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  <c r="P1535" s="1" t="str">
        <f t="shared" si="26"/>
        <v>19-12-2022</v>
      </c>
    </row>
    <row r="1536" spans="1:16" x14ac:dyDescent="0.4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  <c r="P1536" s="1" t="str">
        <f t="shared" si="26"/>
        <v>19-12-2022</v>
      </c>
    </row>
    <row r="1537" spans="1:16" x14ac:dyDescent="0.4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  <c r="P1537" s="1" t="str">
        <f t="shared" si="26"/>
        <v>19-12-2022</v>
      </c>
    </row>
    <row r="1538" spans="1:16" x14ac:dyDescent="0.4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  <c r="P1538" s="1" t="str">
        <f t="shared" si="26"/>
        <v>20-12-2022</v>
      </c>
    </row>
    <row r="1539" spans="1:16" x14ac:dyDescent="0.4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  <c r="P1539" s="1" t="str">
        <f t="shared" ref="P1539:P1602" si="27">B1539&amp;"-"&amp;C1539&amp;"-"&amp;D1539</f>
        <v>20-12-2022</v>
      </c>
    </row>
    <row r="1540" spans="1:16" x14ac:dyDescent="0.4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  <c r="P1540" s="1" t="str">
        <f t="shared" si="27"/>
        <v>20-12-2022</v>
      </c>
    </row>
    <row r="1541" spans="1:16" x14ac:dyDescent="0.4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  <c r="P1541" s="1" t="str">
        <f t="shared" si="27"/>
        <v>20-12-2022</v>
      </c>
    </row>
    <row r="1542" spans="1:16" x14ac:dyDescent="0.4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  <c r="P1542" s="1" t="str">
        <f t="shared" si="27"/>
        <v>21-12-2022</v>
      </c>
    </row>
    <row r="1543" spans="1:16" x14ac:dyDescent="0.4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  <c r="P1543" s="1" t="str">
        <f t="shared" si="27"/>
        <v>21-12-2022</v>
      </c>
    </row>
    <row r="1544" spans="1:16" x14ac:dyDescent="0.4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  <c r="P1544" s="1" t="str">
        <f t="shared" si="27"/>
        <v>21-12-2022</v>
      </c>
    </row>
    <row r="1545" spans="1:16" x14ac:dyDescent="0.4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  <c r="P1545" s="1" t="str">
        <f t="shared" si="27"/>
        <v>22-12-2022</v>
      </c>
    </row>
    <row r="1546" spans="1:16" x14ac:dyDescent="0.4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  <c r="P1546" s="1" t="str">
        <f t="shared" si="27"/>
        <v>22-12-2022</v>
      </c>
    </row>
    <row r="1547" spans="1:16" x14ac:dyDescent="0.4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  <c r="P1547" s="1" t="str">
        <f t="shared" si="27"/>
        <v>22-12-2022</v>
      </c>
    </row>
    <row r="1548" spans="1:16" x14ac:dyDescent="0.4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  <c r="P1548" s="1" t="str">
        <f t="shared" si="27"/>
        <v>23-12-2022</v>
      </c>
    </row>
    <row r="1549" spans="1:16" x14ac:dyDescent="0.4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  <c r="P1549" s="1" t="str">
        <f t="shared" si="27"/>
        <v>23-12-2022</v>
      </c>
    </row>
    <row r="1550" spans="1:16" x14ac:dyDescent="0.4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  <c r="P1550" s="1" t="str">
        <f t="shared" si="27"/>
        <v>23-12-2022</v>
      </c>
    </row>
    <row r="1551" spans="1:16" x14ac:dyDescent="0.4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  <c r="P1551" s="1" t="str">
        <f t="shared" si="27"/>
        <v>24-12-2022</v>
      </c>
    </row>
    <row r="1552" spans="1:16" x14ac:dyDescent="0.4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  <c r="P1552" s="1" t="str">
        <f t="shared" si="27"/>
        <v>24-12-2022</v>
      </c>
    </row>
    <row r="1553" spans="1:16" x14ac:dyDescent="0.4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  <c r="P1553" s="1" t="str">
        <f t="shared" si="27"/>
        <v>24-12-2022</v>
      </c>
    </row>
    <row r="1554" spans="1:16" x14ac:dyDescent="0.4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  <c r="P1554" s="1" t="str">
        <f t="shared" si="27"/>
        <v>24-12-2022</v>
      </c>
    </row>
    <row r="1555" spans="1:16" x14ac:dyDescent="0.4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  <c r="P1555" s="1" t="str">
        <f t="shared" si="27"/>
        <v>25-12-2022</v>
      </c>
    </row>
    <row r="1556" spans="1:16" x14ac:dyDescent="0.4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  <c r="P1556" s="1" t="str">
        <f t="shared" si="27"/>
        <v>25-12-2022</v>
      </c>
    </row>
    <row r="1557" spans="1:16" x14ac:dyDescent="0.4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  <c r="P1557" s="1" t="str">
        <f t="shared" si="27"/>
        <v>25-12-2022</v>
      </c>
    </row>
    <row r="1558" spans="1:16" x14ac:dyDescent="0.4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  <c r="P1558" s="1" t="str">
        <f t="shared" si="27"/>
        <v>26-12-2022</v>
      </c>
    </row>
    <row r="1559" spans="1:16" x14ac:dyDescent="0.4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  <c r="P1559" s="1" t="str">
        <f t="shared" si="27"/>
        <v>26-12-2022</v>
      </c>
    </row>
    <row r="1560" spans="1:16" x14ac:dyDescent="0.4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  <c r="P1560" s="1" t="str">
        <f t="shared" si="27"/>
        <v>26-12-2022</v>
      </c>
    </row>
    <row r="1561" spans="1:16" x14ac:dyDescent="0.4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  <c r="P1561" s="1" t="str">
        <f t="shared" si="27"/>
        <v>26-12-2022</v>
      </c>
    </row>
    <row r="1562" spans="1:16" x14ac:dyDescent="0.4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  <c r="P1562" s="1" t="str">
        <f t="shared" si="27"/>
        <v>27-12-2022</v>
      </c>
    </row>
    <row r="1563" spans="1:16" x14ac:dyDescent="0.4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  <c r="P1563" s="1" t="str">
        <f t="shared" si="27"/>
        <v>27-12-2022</v>
      </c>
    </row>
    <row r="1564" spans="1:16" x14ac:dyDescent="0.4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  <c r="P1564" s="1" t="str">
        <f t="shared" si="27"/>
        <v>27-12-2022</v>
      </c>
    </row>
    <row r="1565" spans="1:16" x14ac:dyDescent="0.4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  <c r="P1565" s="1" t="str">
        <f t="shared" si="27"/>
        <v>27-12-2022</v>
      </c>
    </row>
    <row r="1566" spans="1:16" x14ac:dyDescent="0.4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  <c r="P1566" s="1" t="str">
        <f t="shared" si="27"/>
        <v>28-12-2022</v>
      </c>
    </row>
    <row r="1567" spans="1:16" x14ac:dyDescent="0.4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  <c r="P1567" s="1" t="str">
        <f t="shared" si="27"/>
        <v>28-12-2022</v>
      </c>
    </row>
    <row r="1568" spans="1:16" x14ac:dyDescent="0.4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  <c r="P1568" s="1" t="str">
        <f t="shared" si="27"/>
        <v>28-12-2022</v>
      </c>
    </row>
    <row r="1569" spans="1:16" x14ac:dyDescent="0.4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  <c r="P1569" s="1" t="str">
        <f t="shared" si="27"/>
        <v>29-12-2022</v>
      </c>
    </row>
    <row r="1570" spans="1:16" x14ac:dyDescent="0.4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  <c r="P1570" s="1" t="str">
        <f t="shared" si="27"/>
        <v>29-12-2022</v>
      </c>
    </row>
    <row r="1571" spans="1:16" x14ac:dyDescent="0.4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  <c r="P1571" s="1" t="str">
        <f t="shared" si="27"/>
        <v>29-12-2022</v>
      </c>
    </row>
    <row r="1572" spans="1:16" x14ac:dyDescent="0.4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  <c r="P1572" s="1" t="str">
        <f t="shared" si="27"/>
        <v>30-12-2022</v>
      </c>
    </row>
    <row r="1573" spans="1:16" x14ac:dyDescent="0.4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  <c r="P1573" s="1" t="str">
        <f t="shared" si="27"/>
        <v>30-12-2022</v>
      </c>
    </row>
    <row r="1574" spans="1:16" x14ac:dyDescent="0.4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  <c r="P1574" s="1" t="str">
        <f t="shared" si="27"/>
        <v>30-12-2022</v>
      </c>
    </row>
    <row r="1575" spans="1:16" x14ac:dyDescent="0.4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  <c r="P1575" s="1" t="str">
        <f t="shared" si="27"/>
        <v>30-12-2022</v>
      </c>
    </row>
    <row r="1576" spans="1:16" x14ac:dyDescent="0.4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  <c r="P1576" s="1" t="str">
        <f t="shared" si="27"/>
        <v>31-12-2022</v>
      </c>
    </row>
    <row r="1577" spans="1:16" x14ac:dyDescent="0.4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  <c r="P1577" s="1" t="str">
        <f t="shared" si="27"/>
        <v>31-12-2022</v>
      </c>
    </row>
    <row r="1578" spans="1:16" x14ac:dyDescent="0.4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  <c r="P1578" s="1" t="str">
        <f t="shared" si="27"/>
        <v>31-12-2022</v>
      </c>
    </row>
    <row r="1579" spans="1:16" x14ac:dyDescent="0.4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  <c r="P1579" s="1" t="str">
        <f t="shared" si="27"/>
        <v>1-1-2023</v>
      </c>
    </row>
    <row r="1580" spans="1:16" x14ac:dyDescent="0.4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  <c r="P1580" s="1" t="str">
        <f t="shared" si="27"/>
        <v>1-1-2023</v>
      </c>
    </row>
    <row r="1581" spans="1:16" x14ac:dyDescent="0.4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  <c r="P1581" s="1" t="str">
        <f t="shared" si="27"/>
        <v>1-1-2023</v>
      </c>
    </row>
    <row r="1582" spans="1:16" x14ac:dyDescent="0.4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  <c r="P1582" s="1" t="str">
        <f t="shared" si="27"/>
        <v>1-1-2023</v>
      </c>
    </row>
    <row r="1583" spans="1:16" x14ac:dyDescent="0.4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  <c r="P1583" s="1" t="str">
        <f t="shared" si="27"/>
        <v>2-1-2023</v>
      </c>
    </row>
    <row r="1584" spans="1:16" x14ac:dyDescent="0.4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  <c r="P1584" s="1" t="str">
        <f t="shared" si="27"/>
        <v>2-1-2023</v>
      </c>
    </row>
    <row r="1585" spans="1:16" x14ac:dyDescent="0.4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  <c r="P1585" s="1" t="str">
        <f t="shared" si="27"/>
        <v>2-1-2023</v>
      </c>
    </row>
    <row r="1586" spans="1:16" x14ac:dyDescent="0.4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  <c r="P1586" s="1" t="str">
        <f t="shared" si="27"/>
        <v>2-1-2023</v>
      </c>
    </row>
    <row r="1587" spans="1:16" x14ac:dyDescent="0.4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  <c r="P1587" s="1" t="str">
        <f t="shared" si="27"/>
        <v>3-1-2023</v>
      </c>
    </row>
    <row r="1588" spans="1:16" x14ac:dyDescent="0.4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  <c r="P1588" s="1" t="str">
        <f t="shared" si="27"/>
        <v>3-1-2023</v>
      </c>
    </row>
    <row r="1589" spans="1:16" x14ac:dyDescent="0.4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  <c r="P1589" s="1" t="str">
        <f t="shared" si="27"/>
        <v>3-1-2023</v>
      </c>
    </row>
    <row r="1590" spans="1:16" x14ac:dyDescent="0.4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  <c r="P1590" s="1" t="str">
        <f t="shared" si="27"/>
        <v>3-1-2023</v>
      </c>
    </row>
    <row r="1591" spans="1:16" x14ac:dyDescent="0.4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  <c r="P1591" s="1" t="str">
        <f t="shared" si="27"/>
        <v>4-1-2023</v>
      </c>
    </row>
    <row r="1592" spans="1:16" x14ac:dyDescent="0.4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  <c r="P1592" s="1" t="str">
        <f t="shared" si="27"/>
        <v>4-1-2023</v>
      </c>
    </row>
    <row r="1593" spans="1:16" x14ac:dyDescent="0.4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  <c r="P1593" s="1" t="str">
        <f t="shared" si="27"/>
        <v>4-1-2023</v>
      </c>
    </row>
    <row r="1594" spans="1:16" x14ac:dyDescent="0.4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  <c r="P1594" s="1" t="str">
        <f t="shared" si="27"/>
        <v>4-1-2023</v>
      </c>
    </row>
    <row r="1595" spans="1:16" x14ac:dyDescent="0.4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  <c r="P1595" s="1" t="str">
        <f t="shared" si="27"/>
        <v>5-1-2023</v>
      </c>
    </row>
    <row r="1596" spans="1:16" x14ac:dyDescent="0.4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  <c r="P1596" s="1" t="str">
        <f t="shared" si="27"/>
        <v>5-1-2023</v>
      </c>
    </row>
    <row r="1597" spans="1:16" x14ac:dyDescent="0.4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  <c r="P1597" s="1" t="str">
        <f t="shared" si="27"/>
        <v>5-1-2023</v>
      </c>
    </row>
    <row r="1598" spans="1:16" x14ac:dyDescent="0.4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  <c r="P1598" s="1" t="str">
        <f t="shared" si="27"/>
        <v>5-1-2023</v>
      </c>
    </row>
    <row r="1599" spans="1:16" x14ac:dyDescent="0.4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  <c r="P1599" s="1" t="str">
        <f t="shared" si="27"/>
        <v>6-1-2023</v>
      </c>
    </row>
    <row r="1600" spans="1:16" x14ac:dyDescent="0.4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  <c r="P1600" s="1" t="str">
        <f t="shared" si="27"/>
        <v>6-1-2023</v>
      </c>
    </row>
    <row r="1601" spans="1:16" x14ac:dyDescent="0.4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  <c r="P1601" s="1" t="str">
        <f t="shared" si="27"/>
        <v>6-1-2023</v>
      </c>
    </row>
    <row r="1602" spans="1:16" x14ac:dyDescent="0.4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  <c r="P1602" s="1" t="str">
        <f t="shared" si="27"/>
        <v>7-1-2023</v>
      </c>
    </row>
    <row r="1603" spans="1:16" x14ac:dyDescent="0.4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  <c r="P1603" s="1" t="str">
        <f t="shared" ref="P1603:P1666" si="28">B1603&amp;"-"&amp;C1603&amp;"-"&amp;D1603</f>
        <v>7-1-2023</v>
      </c>
    </row>
    <row r="1604" spans="1:16" x14ac:dyDescent="0.4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  <c r="P1604" s="1" t="str">
        <f t="shared" si="28"/>
        <v>7-1-2023</v>
      </c>
    </row>
    <row r="1605" spans="1:16" x14ac:dyDescent="0.4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  <c r="P1605" s="1" t="str">
        <f t="shared" si="28"/>
        <v>8-1-2023</v>
      </c>
    </row>
    <row r="1606" spans="1:16" x14ac:dyDescent="0.4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  <c r="P1606" s="1" t="str">
        <f t="shared" si="28"/>
        <v>8-1-2023</v>
      </c>
    </row>
    <row r="1607" spans="1:16" x14ac:dyDescent="0.4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  <c r="P1607" s="1" t="str">
        <f t="shared" si="28"/>
        <v>8-1-2023</v>
      </c>
    </row>
    <row r="1608" spans="1:16" x14ac:dyDescent="0.4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  <c r="P1608" s="1" t="str">
        <f t="shared" si="28"/>
        <v>8-1-2023</v>
      </c>
    </row>
    <row r="1609" spans="1:16" x14ac:dyDescent="0.4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  <c r="P1609" s="1" t="str">
        <f t="shared" si="28"/>
        <v>9-1-2023</v>
      </c>
    </row>
    <row r="1610" spans="1:16" x14ac:dyDescent="0.4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  <c r="P1610" s="1" t="str">
        <f t="shared" si="28"/>
        <v>9-1-2023</v>
      </c>
    </row>
    <row r="1611" spans="1:16" x14ac:dyDescent="0.4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  <c r="P1611" s="1" t="str">
        <f t="shared" si="28"/>
        <v>9-1-2023</v>
      </c>
    </row>
    <row r="1612" spans="1:16" x14ac:dyDescent="0.4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  <c r="P1612" s="1" t="str">
        <f t="shared" si="28"/>
        <v>9-1-2023</v>
      </c>
    </row>
    <row r="1613" spans="1:16" x14ac:dyDescent="0.4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  <c r="P1613" s="1" t="str">
        <f t="shared" si="28"/>
        <v>10-1-2023</v>
      </c>
    </row>
    <row r="1614" spans="1:16" x14ac:dyDescent="0.4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  <c r="P1614" s="1" t="str">
        <f t="shared" si="28"/>
        <v>10-1-2023</v>
      </c>
    </row>
    <row r="1615" spans="1:16" x14ac:dyDescent="0.4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  <c r="P1615" s="1" t="str">
        <f t="shared" si="28"/>
        <v>10-1-2023</v>
      </c>
    </row>
    <row r="1616" spans="1:16" x14ac:dyDescent="0.4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  <c r="P1616" s="1" t="str">
        <f t="shared" si="28"/>
        <v>11-1-2023</v>
      </c>
    </row>
    <row r="1617" spans="1:16" x14ac:dyDescent="0.4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  <c r="P1617" s="1" t="str">
        <f t="shared" si="28"/>
        <v>11-1-2023</v>
      </c>
    </row>
    <row r="1618" spans="1:16" x14ac:dyDescent="0.4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  <c r="P1618" s="1" t="str">
        <f t="shared" si="28"/>
        <v>11-1-2023</v>
      </c>
    </row>
    <row r="1619" spans="1:16" x14ac:dyDescent="0.4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  <c r="P1619" s="1" t="str">
        <f t="shared" si="28"/>
        <v>12-1-2023</v>
      </c>
    </row>
    <row r="1620" spans="1:16" x14ac:dyDescent="0.4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  <c r="P1620" s="1" t="str">
        <f t="shared" si="28"/>
        <v>12-1-2023</v>
      </c>
    </row>
    <row r="1621" spans="1:16" x14ac:dyDescent="0.4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  <c r="P1621" s="1" t="str">
        <f t="shared" si="28"/>
        <v>12-1-2023</v>
      </c>
    </row>
    <row r="1622" spans="1:16" x14ac:dyDescent="0.4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  <c r="P1622" s="1" t="str">
        <f t="shared" si="28"/>
        <v>12-1-2023</v>
      </c>
    </row>
    <row r="1623" spans="1:16" x14ac:dyDescent="0.4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  <c r="P1623" s="1" t="str">
        <f t="shared" si="28"/>
        <v>13-1-2023</v>
      </c>
    </row>
    <row r="1624" spans="1:16" x14ac:dyDescent="0.4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  <c r="P1624" s="1" t="str">
        <f t="shared" si="28"/>
        <v>13-1-2023</v>
      </c>
    </row>
    <row r="1625" spans="1:16" x14ac:dyDescent="0.4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  <c r="P1625" s="1" t="str">
        <f t="shared" si="28"/>
        <v>13-1-2023</v>
      </c>
    </row>
    <row r="1626" spans="1:16" x14ac:dyDescent="0.4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  <c r="P1626" s="1" t="str">
        <f t="shared" si="28"/>
        <v>14-1-2023</v>
      </c>
    </row>
    <row r="1627" spans="1:16" x14ac:dyDescent="0.4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  <c r="P1627" s="1" t="str">
        <f t="shared" si="28"/>
        <v>14-1-2023</v>
      </c>
    </row>
    <row r="1628" spans="1:16" x14ac:dyDescent="0.4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  <c r="P1628" s="1" t="str">
        <f t="shared" si="28"/>
        <v>14-1-2023</v>
      </c>
    </row>
    <row r="1629" spans="1:16" x14ac:dyDescent="0.4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  <c r="P1629" s="1" t="str">
        <f t="shared" si="28"/>
        <v>14-1-2023</v>
      </c>
    </row>
    <row r="1630" spans="1:16" x14ac:dyDescent="0.4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  <c r="P1630" s="1" t="str">
        <f t="shared" si="28"/>
        <v>15-1-2023</v>
      </c>
    </row>
    <row r="1631" spans="1:16" x14ac:dyDescent="0.4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  <c r="P1631" s="1" t="str">
        <f t="shared" si="28"/>
        <v>15-1-2023</v>
      </c>
    </row>
    <row r="1632" spans="1:16" x14ac:dyDescent="0.4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  <c r="P1632" s="1" t="str">
        <f t="shared" si="28"/>
        <v>15-1-2023</v>
      </c>
    </row>
    <row r="1633" spans="1:16" x14ac:dyDescent="0.4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  <c r="P1633" s="1" t="str">
        <f t="shared" si="28"/>
        <v>16-1-2023</v>
      </c>
    </row>
    <row r="1634" spans="1:16" x14ac:dyDescent="0.4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  <c r="P1634" s="1" t="str">
        <f t="shared" si="28"/>
        <v>16-1-2023</v>
      </c>
    </row>
    <row r="1635" spans="1:16" x14ac:dyDescent="0.4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  <c r="P1635" s="1" t="str">
        <f t="shared" si="28"/>
        <v>16-1-2023</v>
      </c>
    </row>
    <row r="1636" spans="1:16" x14ac:dyDescent="0.4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  <c r="P1636" s="1" t="str">
        <f t="shared" si="28"/>
        <v>16-1-2023</v>
      </c>
    </row>
    <row r="1637" spans="1:16" x14ac:dyDescent="0.4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  <c r="P1637" s="1" t="str">
        <f t="shared" si="28"/>
        <v>17-1-2023</v>
      </c>
    </row>
    <row r="1638" spans="1:16" x14ac:dyDescent="0.4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  <c r="P1638" s="1" t="str">
        <f t="shared" si="28"/>
        <v>17-1-2023</v>
      </c>
    </row>
    <row r="1639" spans="1:16" x14ac:dyDescent="0.4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  <c r="P1639" s="1" t="str">
        <f t="shared" si="28"/>
        <v>17-1-2023</v>
      </c>
    </row>
    <row r="1640" spans="1:16" x14ac:dyDescent="0.4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  <c r="P1640" s="1" t="str">
        <f t="shared" si="28"/>
        <v>18-1-2023</v>
      </c>
    </row>
    <row r="1641" spans="1:16" x14ac:dyDescent="0.4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  <c r="P1641" s="1" t="str">
        <f t="shared" si="28"/>
        <v>18-1-2023</v>
      </c>
    </row>
    <row r="1642" spans="1:16" x14ac:dyDescent="0.4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  <c r="P1642" s="1" t="str">
        <f t="shared" si="28"/>
        <v>18-1-2023</v>
      </c>
    </row>
    <row r="1643" spans="1:16" x14ac:dyDescent="0.4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  <c r="P1643" s="1" t="str">
        <f t="shared" si="28"/>
        <v>18-1-2023</v>
      </c>
    </row>
    <row r="1644" spans="1:16" x14ac:dyDescent="0.4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  <c r="P1644" s="1" t="str">
        <f t="shared" si="28"/>
        <v>19-1-2023</v>
      </c>
    </row>
    <row r="1645" spans="1:16" x14ac:dyDescent="0.4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  <c r="P1645" s="1" t="str">
        <f t="shared" si="28"/>
        <v>19-1-2023</v>
      </c>
    </row>
    <row r="1646" spans="1:16" x14ac:dyDescent="0.4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  <c r="P1646" s="1" t="str">
        <f t="shared" si="28"/>
        <v>19-1-2023</v>
      </c>
    </row>
    <row r="1647" spans="1:16" x14ac:dyDescent="0.4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  <c r="P1647" s="1" t="str">
        <f t="shared" si="28"/>
        <v>20-1-2023</v>
      </c>
    </row>
    <row r="1648" spans="1:16" x14ac:dyDescent="0.4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  <c r="P1648" s="1" t="str">
        <f t="shared" si="28"/>
        <v>20-1-2023</v>
      </c>
    </row>
    <row r="1649" spans="1:16" x14ac:dyDescent="0.4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  <c r="P1649" s="1" t="str">
        <f t="shared" si="28"/>
        <v>20-1-2023</v>
      </c>
    </row>
    <row r="1650" spans="1:16" x14ac:dyDescent="0.4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  <c r="P1650" s="1" t="str">
        <f t="shared" si="28"/>
        <v>21-1-2023</v>
      </c>
    </row>
    <row r="1651" spans="1:16" x14ac:dyDescent="0.4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  <c r="P1651" s="1" t="str">
        <f t="shared" si="28"/>
        <v>21-1-2023</v>
      </c>
    </row>
    <row r="1652" spans="1:16" x14ac:dyDescent="0.4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  <c r="P1652" s="1" t="str">
        <f t="shared" si="28"/>
        <v>21-1-2023</v>
      </c>
    </row>
    <row r="1653" spans="1:16" x14ac:dyDescent="0.4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  <c r="P1653" s="1" t="str">
        <f t="shared" si="28"/>
        <v>21-1-2023</v>
      </c>
    </row>
    <row r="1654" spans="1:16" x14ac:dyDescent="0.4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  <c r="P1654" s="1" t="str">
        <f t="shared" si="28"/>
        <v>22-1-2023</v>
      </c>
    </row>
    <row r="1655" spans="1:16" x14ac:dyDescent="0.4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  <c r="P1655" s="1" t="str">
        <f t="shared" si="28"/>
        <v>22-1-2023</v>
      </c>
    </row>
    <row r="1656" spans="1:16" x14ac:dyDescent="0.4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  <c r="P1656" s="1" t="str">
        <f t="shared" si="28"/>
        <v>22-1-2023</v>
      </c>
    </row>
    <row r="1657" spans="1:16" x14ac:dyDescent="0.4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  <c r="P1657" s="1" t="str">
        <f t="shared" si="28"/>
        <v>23-1-2023</v>
      </c>
    </row>
    <row r="1658" spans="1:16" x14ac:dyDescent="0.4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  <c r="P1658" s="1" t="str">
        <f t="shared" si="28"/>
        <v>23-1-2023</v>
      </c>
    </row>
    <row r="1659" spans="1:16" x14ac:dyDescent="0.4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  <c r="P1659" s="1" t="str">
        <f t="shared" si="28"/>
        <v>23-1-2023</v>
      </c>
    </row>
    <row r="1660" spans="1:16" x14ac:dyDescent="0.4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  <c r="P1660" s="1" t="str">
        <f t="shared" si="28"/>
        <v>23-1-2023</v>
      </c>
    </row>
    <row r="1661" spans="1:16" x14ac:dyDescent="0.4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  <c r="P1661" s="1" t="str">
        <f t="shared" si="28"/>
        <v>24-1-2023</v>
      </c>
    </row>
    <row r="1662" spans="1:16" x14ac:dyDescent="0.4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  <c r="P1662" s="1" t="str">
        <f t="shared" si="28"/>
        <v>24-1-2023</v>
      </c>
    </row>
    <row r="1663" spans="1:16" x14ac:dyDescent="0.4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  <c r="P1663" s="1" t="str">
        <f t="shared" si="28"/>
        <v>24-1-2023</v>
      </c>
    </row>
    <row r="1664" spans="1:16" x14ac:dyDescent="0.4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  <c r="P1664" s="1" t="str">
        <f t="shared" si="28"/>
        <v>25-1-2023</v>
      </c>
    </row>
    <row r="1665" spans="1:16" x14ac:dyDescent="0.4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  <c r="P1665" s="1" t="str">
        <f t="shared" si="28"/>
        <v>25-1-2023</v>
      </c>
    </row>
    <row r="1666" spans="1:16" x14ac:dyDescent="0.4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  <c r="P1666" s="1" t="str">
        <f t="shared" si="28"/>
        <v>25-1-2023</v>
      </c>
    </row>
    <row r="1667" spans="1:16" x14ac:dyDescent="0.4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  <c r="P1667" s="1" t="str">
        <f t="shared" ref="P1667:P1730" si="29">B1667&amp;"-"&amp;C1667&amp;"-"&amp;D1667</f>
        <v>25-1-2023</v>
      </c>
    </row>
    <row r="1668" spans="1:16" x14ac:dyDescent="0.4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  <c r="P1668" s="1" t="str">
        <f t="shared" si="29"/>
        <v>26-1-2023</v>
      </c>
    </row>
    <row r="1669" spans="1:16" x14ac:dyDescent="0.4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  <c r="P1669" s="1" t="str">
        <f t="shared" si="29"/>
        <v>26-1-2023</v>
      </c>
    </row>
    <row r="1670" spans="1:16" x14ac:dyDescent="0.4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  <c r="P1670" s="1" t="str">
        <f t="shared" si="29"/>
        <v>26-1-2023</v>
      </c>
    </row>
    <row r="1671" spans="1:16" x14ac:dyDescent="0.4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  <c r="P1671" s="1" t="str">
        <f t="shared" si="29"/>
        <v>27-1-2023</v>
      </c>
    </row>
    <row r="1672" spans="1:16" x14ac:dyDescent="0.4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  <c r="P1672" s="1" t="str">
        <f t="shared" si="29"/>
        <v>27-1-2023</v>
      </c>
    </row>
    <row r="1673" spans="1:16" x14ac:dyDescent="0.4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  <c r="P1673" s="1" t="str">
        <f t="shared" si="29"/>
        <v>27-1-2023</v>
      </c>
    </row>
    <row r="1674" spans="1:16" x14ac:dyDescent="0.4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  <c r="P1674" s="1" t="str">
        <f t="shared" si="29"/>
        <v>27-1-2023</v>
      </c>
    </row>
    <row r="1675" spans="1:16" x14ac:dyDescent="0.4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  <c r="P1675" s="1" t="str">
        <f t="shared" si="29"/>
        <v>28-1-2023</v>
      </c>
    </row>
    <row r="1676" spans="1:16" x14ac:dyDescent="0.4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  <c r="P1676" s="1" t="str">
        <f t="shared" si="29"/>
        <v>28-1-2023</v>
      </c>
    </row>
    <row r="1677" spans="1:16" x14ac:dyDescent="0.4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  <c r="P1677" s="1" t="str">
        <f t="shared" si="29"/>
        <v>28-1-2023</v>
      </c>
    </row>
    <row r="1678" spans="1:16" x14ac:dyDescent="0.4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  <c r="P1678" s="1" t="str">
        <f t="shared" si="29"/>
        <v>29-1-2023</v>
      </c>
    </row>
    <row r="1679" spans="1:16" x14ac:dyDescent="0.4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  <c r="P1679" s="1" t="str">
        <f t="shared" si="29"/>
        <v>29-1-2023</v>
      </c>
    </row>
    <row r="1680" spans="1:16" x14ac:dyDescent="0.4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  <c r="P1680" s="1" t="str">
        <f t="shared" si="29"/>
        <v>29-1-2023</v>
      </c>
    </row>
    <row r="1681" spans="1:16" x14ac:dyDescent="0.4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  <c r="P1681" s="1" t="str">
        <f t="shared" si="29"/>
        <v>29-1-2023</v>
      </c>
    </row>
    <row r="1682" spans="1:16" x14ac:dyDescent="0.4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  <c r="P1682" s="1" t="str">
        <f t="shared" si="29"/>
        <v>30-1-2023</v>
      </c>
    </row>
    <row r="1683" spans="1:16" x14ac:dyDescent="0.4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  <c r="P1683" s="1" t="str">
        <f t="shared" si="29"/>
        <v>30-1-2023</v>
      </c>
    </row>
    <row r="1684" spans="1:16" x14ac:dyDescent="0.4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  <c r="P1684" s="1" t="str">
        <f t="shared" si="29"/>
        <v>30-1-2023</v>
      </c>
    </row>
    <row r="1685" spans="1:16" x14ac:dyDescent="0.4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  <c r="P1685" s="1" t="str">
        <f t="shared" si="29"/>
        <v>31-1-2023</v>
      </c>
    </row>
    <row r="1686" spans="1:16" x14ac:dyDescent="0.4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  <c r="P1686" s="1" t="str">
        <f t="shared" si="29"/>
        <v>31-1-2023</v>
      </c>
    </row>
    <row r="1687" spans="1:16" x14ac:dyDescent="0.4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  <c r="P1687" s="1" t="str">
        <f t="shared" si="29"/>
        <v>31-1-2023</v>
      </c>
    </row>
    <row r="1688" spans="1:16" x14ac:dyDescent="0.4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  <c r="P1688" s="1" t="str">
        <f t="shared" si="29"/>
        <v>31-1-2023</v>
      </c>
    </row>
    <row r="1689" spans="1:16" x14ac:dyDescent="0.4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  <c r="P1689" s="1" t="str">
        <f t="shared" si="29"/>
        <v>1-2-2023</v>
      </c>
    </row>
    <row r="1690" spans="1:16" x14ac:dyDescent="0.4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  <c r="P1690" s="1" t="str">
        <f t="shared" si="29"/>
        <v>1-2-2023</v>
      </c>
    </row>
    <row r="1691" spans="1:16" x14ac:dyDescent="0.4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  <c r="P1691" s="1" t="str">
        <f t="shared" si="29"/>
        <v>1-2-2023</v>
      </c>
    </row>
    <row r="1692" spans="1:16" x14ac:dyDescent="0.4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  <c r="P1692" s="1" t="str">
        <f t="shared" si="29"/>
        <v>1-2-2023</v>
      </c>
    </row>
    <row r="1693" spans="1:16" x14ac:dyDescent="0.4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  <c r="P1693" s="1" t="str">
        <f t="shared" si="29"/>
        <v>2-2-2023</v>
      </c>
    </row>
    <row r="1694" spans="1:16" x14ac:dyDescent="0.4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  <c r="P1694" s="1" t="str">
        <f t="shared" si="29"/>
        <v>2-2-2023</v>
      </c>
    </row>
    <row r="1695" spans="1:16" x14ac:dyDescent="0.4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  <c r="P1695" s="1" t="str">
        <f t="shared" si="29"/>
        <v>2-2-2023</v>
      </c>
    </row>
    <row r="1696" spans="1:16" x14ac:dyDescent="0.4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  <c r="P1696" s="1" t="str">
        <f t="shared" si="29"/>
        <v>2-2-2023</v>
      </c>
    </row>
    <row r="1697" spans="1:16" x14ac:dyDescent="0.4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  <c r="P1697" s="1" t="str">
        <f t="shared" si="29"/>
        <v>3-2-2023</v>
      </c>
    </row>
    <row r="1698" spans="1:16" x14ac:dyDescent="0.4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  <c r="P1698" s="1" t="str">
        <f t="shared" si="29"/>
        <v>3-2-2023</v>
      </c>
    </row>
    <row r="1699" spans="1:16" x14ac:dyDescent="0.4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  <c r="P1699" s="1" t="str">
        <f t="shared" si="29"/>
        <v>3-2-2023</v>
      </c>
    </row>
    <row r="1700" spans="1:16" x14ac:dyDescent="0.4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  <c r="P1700" s="1" t="str">
        <f t="shared" si="29"/>
        <v>4-2-2023</v>
      </c>
    </row>
    <row r="1701" spans="1:16" x14ac:dyDescent="0.4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  <c r="P1701" s="1" t="str">
        <f t="shared" si="29"/>
        <v>4-2-2023</v>
      </c>
    </row>
    <row r="1702" spans="1:16" x14ac:dyDescent="0.4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  <c r="P1702" s="1" t="str">
        <f t="shared" si="29"/>
        <v>4-2-2023</v>
      </c>
    </row>
    <row r="1703" spans="1:16" x14ac:dyDescent="0.4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  <c r="P1703" s="1" t="str">
        <f t="shared" si="29"/>
        <v>4-2-2023</v>
      </c>
    </row>
    <row r="1704" spans="1:16" x14ac:dyDescent="0.4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  <c r="P1704" s="1" t="str">
        <f t="shared" si="29"/>
        <v>5-2-2023</v>
      </c>
    </row>
    <row r="1705" spans="1:16" x14ac:dyDescent="0.4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  <c r="P1705" s="1" t="str">
        <f t="shared" si="29"/>
        <v>5-2-2023</v>
      </c>
    </row>
    <row r="1706" spans="1:16" x14ac:dyDescent="0.4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  <c r="P1706" s="1" t="str">
        <f t="shared" si="29"/>
        <v>5-2-2023</v>
      </c>
    </row>
    <row r="1707" spans="1:16" x14ac:dyDescent="0.4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  <c r="P1707" s="1" t="str">
        <f t="shared" si="29"/>
        <v>6-2-2023</v>
      </c>
    </row>
    <row r="1708" spans="1:16" x14ac:dyDescent="0.4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  <c r="P1708" s="1" t="str">
        <f t="shared" si="29"/>
        <v>6-2-2023</v>
      </c>
    </row>
    <row r="1709" spans="1:16" x14ac:dyDescent="0.4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  <c r="P1709" s="1" t="str">
        <f t="shared" si="29"/>
        <v>6-2-2023</v>
      </c>
    </row>
    <row r="1710" spans="1:16" x14ac:dyDescent="0.4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  <c r="P1710" s="1" t="str">
        <f t="shared" si="29"/>
        <v>6-2-2023</v>
      </c>
    </row>
    <row r="1711" spans="1:16" x14ac:dyDescent="0.4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  <c r="P1711" s="1" t="str">
        <f t="shared" si="29"/>
        <v>7-2-2023</v>
      </c>
    </row>
    <row r="1712" spans="1:16" x14ac:dyDescent="0.4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  <c r="P1712" s="1" t="str">
        <f t="shared" si="29"/>
        <v>7-2-2023</v>
      </c>
    </row>
    <row r="1713" spans="1:16" x14ac:dyDescent="0.4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  <c r="P1713" s="1" t="str">
        <f t="shared" si="29"/>
        <v>7-2-2023</v>
      </c>
    </row>
    <row r="1714" spans="1:16" x14ac:dyDescent="0.4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  <c r="P1714" s="1" t="str">
        <f t="shared" si="29"/>
        <v>8-2-2023</v>
      </c>
    </row>
    <row r="1715" spans="1:16" x14ac:dyDescent="0.4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  <c r="P1715" s="1" t="str">
        <f t="shared" si="29"/>
        <v>8-2-2023</v>
      </c>
    </row>
    <row r="1716" spans="1:16" x14ac:dyDescent="0.4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  <c r="P1716" s="1" t="str">
        <f t="shared" si="29"/>
        <v>8-2-2023</v>
      </c>
    </row>
    <row r="1717" spans="1:16" x14ac:dyDescent="0.4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  <c r="P1717" s="1" t="str">
        <f t="shared" si="29"/>
        <v>8-2-2023</v>
      </c>
    </row>
    <row r="1718" spans="1:16" x14ac:dyDescent="0.4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  <c r="P1718" s="1" t="str">
        <f t="shared" si="29"/>
        <v>9-2-2023</v>
      </c>
    </row>
    <row r="1719" spans="1:16" x14ac:dyDescent="0.4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  <c r="P1719" s="1" t="str">
        <f t="shared" si="29"/>
        <v>9-2-2023</v>
      </c>
    </row>
    <row r="1720" spans="1:16" x14ac:dyDescent="0.4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  <c r="P1720" s="1" t="str">
        <f t="shared" si="29"/>
        <v>9-2-2023</v>
      </c>
    </row>
    <row r="1721" spans="1:16" x14ac:dyDescent="0.4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  <c r="P1721" s="1" t="str">
        <f t="shared" si="29"/>
        <v>10-2-2023</v>
      </c>
    </row>
    <row r="1722" spans="1:16" x14ac:dyDescent="0.4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  <c r="P1722" s="1" t="str">
        <f t="shared" si="29"/>
        <v>10-2-2023</v>
      </c>
    </row>
    <row r="1723" spans="1:16" x14ac:dyDescent="0.4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  <c r="P1723" s="1" t="str">
        <f t="shared" si="29"/>
        <v>10-2-2023</v>
      </c>
    </row>
    <row r="1724" spans="1:16" x14ac:dyDescent="0.4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  <c r="P1724" s="1" t="str">
        <f t="shared" si="29"/>
        <v>11-2-2023</v>
      </c>
    </row>
    <row r="1725" spans="1:16" x14ac:dyDescent="0.4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  <c r="P1725" s="1" t="str">
        <f t="shared" si="29"/>
        <v>11-2-2023</v>
      </c>
    </row>
    <row r="1726" spans="1:16" x14ac:dyDescent="0.4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  <c r="P1726" s="1" t="str">
        <f t="shared" si="29"/>
        <v>11-2-2023</v>
      </c>
    </row>
    <row r="1727" spans="1:16" x14ac:dyDescent="0.4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  <c r="P1727" s="1" t="str">
        <f t="shared" si="29"/>
        <v>11-2-2023</v>
      </c>
    </row>
    <row r="1728" spans="1:16" x14ac:dyDescent="0.4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  <c r="P1728" s="1" t="str">
        <f t="shared" si="29"/>
        <v>12-2-2023</v>
      </c>
    </row>
    <row r="1729" spans="1:16" x14ac:dyDescent="0.4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  <c r="P1729" s="1" t="str">
        <f t="shared" si="29"/>
        <v>12-2-2023</v>
      </c>
    </row>
    <row r="1730" spans="1:16" x14ac:dyDescent="0.4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  <c r="P1730" s="1" t="str">
        <f t="shared" si="29"/>
        <v>12-2-2023</v>
      </c>
    </row>
    <row r="1731" spans="1:16" x14ac:dyDescent="0.4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  <c r="P1731" s="1" t="str">
        <f t="shared" ref="P1731:P1794" si="30">B1731&amp;"-"&amp;C1731&amp;"-"&amp;D1731</f>
        <v>13-2-2023</v>
      </c>
    </row>
    <row r="1732" spans="1:16" x14ac:dyDescent="0.4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  <c r="P1732" s="1" t="str">
        <f t="shared" si="30"/>
        <v>13-2-2023</v>
      </c>
    </row>
    <row r="1733" spans="1:16" x14ac:dyDescent="0.4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  <c r="P1733" s="1" t="str">
        <f t="shared" si="30"/>
        <v>13-2-2023</v>
      </c>
    </row>
    <row r="1734" spans="1:16" x14ac:dyDescent="0.4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  <c r="P1734" s="1" t="str">
        <f t="shared" si="30"/>
        <v>14-2-2023</v>
      </c>
    </row>
    <row r="1735" spans="1:16" x14ac:dyDescent="0.4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  <c r="P1735" s="1" t="str">
        <f t="shared" si="30"/>
        <v>14-2-2023</v>
      </c>
    </row>
    <row r="1736" spans="1:16" x14ac:dyDescent="0.4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  <c r="P1736" s="1" t="str">
        <f t="shared" si="30"/>
        <v>14-2-2023</v>
      </c>
    </row>
    <row r="1737" spans="1:16" x14ac:dyDescent="0.4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  <c r="P1737" s="1" t="str">
        <f t="shared" si="30"/>
        <v>14-2-2023</v>
      </c>
    </row>
    <row r="1738" spans="1:16" x14ac:dyDescent="0.4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  <c r="P1738" s="1" t="str">
        <f t="shared" si="30"/>
        <v>15-2-2023</v>
      </c>
    </row>
    <row r="1739" spans="1:16" x14ac:dyDescent="0.4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  <c r="P1739" s="1" t="str">
        <f t="shared" si="30"/>
        <v>15-2-2023</v>
      </c>
    </row>
    <row r="1740" spans="1:16" x14ac:dyDescent="0.4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  <c r="P1740" s="1" t="str">
        <f t="shared" si="30"/>
        <v>15-2-2023</v>
      </c>
    </row>
    <row r="1741" spans="1:16" x14ac:dyDescent="0.4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  <c r="P1741" s="1" t="str">
        <f t="shared" si="30"/>
        <v>16-2-2023</v>
      </c>
    </row>
    <row r="1742" spans="1:16" x14ac:dyDescent="0.4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  <c r="P1742" s="1" t="str">
        <f t="shared" si="30"/>
        <v>16-2-2023</v>
      </c>
    </row>
    <row r="1743" spans="1:16" x14ac:dyDescent="0.4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  <c r="P1743" s="1" t="str">
        <f t="shared" si="30"/>
        <v>16-2-2023</v>
      </c>
    </row>
    <row r="1744" spans="1:16" x14ac:dyDescent="0.4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  <c r="P1744" s="1" t="str">
        <f t="shared" si="30"/>
        <v>17-2-2023</v>
      </c>
    </row>
    <row r="1745" spans="1:16" x14ac:dyDescent="0.4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  <c r="P1745" s="1" t="str">
        <f t="shared" si="30"/>
        <v>17-2-2023</v>
      </c>
    </row>
    <row r="1746" spans="1:16" x14ac:dyDescent="0.4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  <c r="P1746" s="1" t="str">
        <f t="shared" si="30"/>
        <v>17-2-2023</v>
      </c>
    </row>
    <row r="1747" spans="1:16" x14ac:dyDescent="0.4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  <c r="P1747" s="1" t="str">
        <f t="shared" si="30"/>
        <v>18-2-2023</v>
      </c>
    </row>
    <row r="1748" spans="1:16" x14ac:dyDescent="0.4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  <c r="P1748" s="1" t="str">
        <f t="shared" si="30"/>
        <v>18-2-2023</v>
      </c>
    </row>
    <row r="1749" spans="1:16" x14ac:dyDescent="0.4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  <c r="P1749" s="1" t="str">
        <f t="shared" si="30"/>
        <v>18-2-2023</v>
      </c>
    </row>
    <row r="1750" spans="1:16" x14ac:dyDescent="0.4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  <c r="P1750" s="1" t="str">
        <f t="shared" si="30"/>
        <v>18-2-2023</v>
      </c>
    </row>
    <row r="1751" spans="1:16" x14ac:dyDescent="0.4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  <c r="P1751" s="1" t="str">
        <f t="shared" si="30"/>
        <v>19-2-2023</v>
      </c>
    </row>
    <row r="1752" spans="1:16" x14ac:dyDescent="0.4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  <c r="P1752" s="1" t="str">
        <f t="shared" si="30"/>
        <v>19-2-2023</v>
      </c>
    </row>
    <row r="1753" spans="1:16" x14ac:dyDescent="0.4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  <c r="P1753" s="1" t="str">
        <f t="shared" si="30"/>
        <v>19-2-2023</v>
      </c>
    </row>
    <row r="1754" spans="1:16" x14ac:dyDescent="0.4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  <c r="P1754" s="1" t="str">
        <f t="shared" si="30"/>
        <v>20-2-2023</v>
      </c>
    </row>
    <row r="1755" spans="1:16" x14ac:dyDescent="0.4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  <c r="P1755" s="1" t="str">
        <f t="shared" si="30"/>
        <v>20-2-2023</v>
      </c>
    </row>
    <row r="1756" spans="1:16" x14ac:dyDescent="0.4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  <c r="P1756" s="1" t="str">
        <f t="shared" si="30"/>
        <v>20-2-2023</v>
      </c>
    </row>
    <row r="1757" spans="1:16" x14ac:dyDescent="0.4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  <c r="P1757" s="1" t="str">
        <f t="shared" si="30"/>
        <v>20-2-2023</v>
      </c>
    </row>
    <row r="1758" spans="1:16" x14ac:dyDescent="0.4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  <c r="P1758" s="1" t="str">
        <f t="shared" si="30"/>
        <v>21-2-2023</v>
      </c>
    </row>
    <row r="1759" spans="1:16" x14ac:dyDescent="0.4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  <c r="P1759" s="1" t="str">
        <f t="shared" si="30"/>
        <v>21-2-2023</v>
      </c>
    </row>
    <row r="1760" spans="1:16" x14ac:dyDescent="0.4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  <c r="P1760" s="1" t="str">
        <f t="shared" si="30"/>
        <v>21-2-2023</v>
      </c>
    </row>
    <row r="1761" spans="1:16" x14ac:dyDescent="0.4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  <c r="P1761" s="1" t="str">
        <f t="shared" si="30"/>
        <v>22-2-2023</v>
      </c>
    </row>
    <row r="1762" spans="1:16" x14ac:dyDescent="0.4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  <c r="P1762" s="1" t="str">
        <f t="shared" si="30"/>
        <v>22-2-2023</v>
      </c>
    </row>
    <row r="1763" spans="1:16" x14ac:dyDescent="0.4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  <c r="P1763" s="1" t="str">
        <f t="shared" si="30"/>
        <v>22-2-2023</v>
      </c>
    </row>
    <row r="1764" spans="1:16" x14ac:dyDescent="0.4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  <c r="P1764" s="1" t="str">
        <f t="shared" si="30"/>
        <v>23-2-2023</v>
      </c>
    </row>
    <row r="1765" spans="1:16" x14ac:dyDescent="0.4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  <c r="P1765" s="1" t="str">
        <f t="shared" si="30"/>
        <v>23-2-2023</v>
      </c>
    </row>
    <row r="1766" spans="1:16" x14ac:dyDescent="0.4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  <c r="P1766" s="1" t="str">
        <f t="shared" si="30"/>
        <v>23-2-2023</v>
      </c>
    </row>
    <row r="1767" spans="1:16" x14ac:dyDescent="0.4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  <c r="P1767" s="1" t="str">
        <f t="shared" si="30"/>
        <v>24-2-2023</v>
      </c>
    </row>
    <row r="1768" spans="1:16" x14ac:dyDescent="0.4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  <c r="P1768" s="1" t="str">
        <f t="shared" si="30"/>
        <v>24-2-2023</v>
      </c>
    </row>
    <row r="1769" spans="1:16" x14ac:dyDescent="0.4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  <c r="P1769" s="1" t="str">
        <f t="shared" si="30"/>
        <v>24-2-2023</v>
      </c>
    </row>
    <row r="1770" spans="1:16" x14ac:dyDescent="0.4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  <c r="P1770" s="1" t="str">
        <f t="shared" si="30"/>
        <v>24-2-2023</v>
      </c>
    </row>
    <row r="1771" spans="1:16" x14ac:dyDescent="0.4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  <c r="P1771" s="1" t="str">
        <f t="shared" si="30"/>
        <v>25-2-2023</v>
      </c>
    </row>
    <row r="1772" spans="1:16" x14ac:dyDescent="0.4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  <c r="P1772" s="1" t="str">
        <f t="shared" si="30"/>
        <v>25-2-2023</v>
      </c>
    </row>
    <row r="1773" spans="1:16" x14ac:dyDescent="0.4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  <c r="P1773" s="1" t="str">
        <f t="shared" si="30"/>
        <v>25-2-2023</v>
      </c>
    </row>
    <row r="1774" spans="1:16" x14ac:dyDescent="0.4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  <c r="P1774" s="1" t="str">
        <f t="shared" si="30"/>
        <v>26-2-2023</v>
      </c>
    </row>
    <row r="1775" spans="1:16" x14ac:dyDescent="0.4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  <c r="P1775" s="1" t="str">
        <f t="shared" si="30"/>
        <v>26-2-2023</v>
      </c>
    </row>
    <row r="1776" spans="1:16" x14ac:dyDescent="0.4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  <c r="P1776" s="1" t="str">
        <f t="shared" si="30"/>
        <v>26-2-2023</v>
      </c>
    </row>
    <row r="1777" spans="1:16" x14ac:dyDescent="0.4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  <c r="P1777" s="1" t="str">
        <f t="shared" si="30"/>
        <v>27-2-2023</v>
      </c>
    </row>
    <row r="1778" spans="1:16" x14ac:dyDescent="0.4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  <c r="P1778" s="1" t="str">
        <f t="shared" si="30"/>
        <v>27-2-2023</v>
      </c>
    </row>
    <row r="1779" spans="1:16" x14ac:dyDescent="0.4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  <c r="P1779" s="1" t="str">
        <f t="shared" si="30"/>
        <v>27-2-2023</v>
      </c>
    </row>
    <row r="1780" spans="1:16" x14ac:dyDescent="0.4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  <c r="P1780" s="1" t="str">
        <f t="shared" si="30"/>
        <v>27-2-2023</v>
      </c>
    </row>
    <row r="1781" spans="1:16" x14ac:dyDescent="0.4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  <c r="P1781" s="1" t="str">
        <f t="shared" si="30"/>
        <v>28-2-2023</v>
      </c>
    </row>
    <row r="1782" spans="1:16" x14ac:dyDescent="0.4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  <c r="P1782" s="1" t="str">
        <f t="shared" si="30"/>
        <v>28-2-2023</v>
      </c>
    </row>
    <row r="1783" spans="1:16" x14ac:dyDescent="0.4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  <c r="P1783" s="1" t="str">
        <f t="shared" si="30"/>
        <v>28-2-2023</v>
      </c>
    </row>
    <row r="1784" spans="1:16" x14ac:dyDescent="0.4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  <c r="P1784" s="1" t="str">
        <f t="shared" si="30"/>
        <v>1-3-2023</v>
      </c>
    </row>
    <row r="1785" spans="1:16" x14ac:dyDescent="0.4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  <c r="P1785" s="1" t="str">
        <f t="shared" si="30"/>
        <v>1-3-2023</v>
      </c>
    </row>
    <row r="1786" spans="1:16" x14ac:dyDescent="0.4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  <c r="P1786" s="1" t="str">
        <f t="shared" si="30"/>
        <v>1-3-2023</v>
      </c>
    </row>
    <row r="1787" spans="1:16" x14ac:dyDescent="0.4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  <c r="P1787" s="1" t="str">
        <f t="shared" si="30"/>
        <v>1-3-2023</v>
      </c>
    </row>
    <row r="1788" spans="1:16" x14ac:dyDescent="0.4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  <c r="P1788" s="1" t="str">
        <f t="shared" si="30"/>
        <v>2-3-2023</v>
      </c>
    </row>
    <row r="1789" spans="1:16" x14ac:dyDescent="0.4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  <c r="P1789" s="1" t="str">
        <f t="shared" si="30"/>
        <v>2-3-2023</v>
      </c>
    </row>
    <row r="1790" spans="1:16" x14ac:dyDescent="0.4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  <c r="P1790" s="1" t="str">
        <f t="shared" si="30"/>
        <v>2-3-2023</v>
      </c>
    </row>
    <row r="1791" spans="1:16" x14ac:dyDescent="0.4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  <c r="P1791" s="1" t="str">
        <f t="shared" si="30"/>
        <v>2-3-2023</v>
      </c>
    </row>
    <row r="1792" spans="1:16" x14ac:dyDescent="0.4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  <c r="P1792" s="1" t="str">
        <f t="shared" si="30"/>
        <v>3-3-2023</v>
      </c>
    </row>
    <row r="1793" spans="1:16" x14ac:dyDescent="0.4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  <c r="P1793" s="1" t="str">
        <f t="shared" si="30"/>
        <v>3-3-2023</v>
      </c>
    </row>
    <row r="1794" spans="1:16" x14ac:dyDescent="0.4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  <c r="P1794" s="1" t="str">
        <f t="shared" si="30"/>
        <v>3-3-2023</v>
      </c>
    </row>
    <row r="1795" spans="1:16" x14ac:dyDescent="0.4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  <c r="P1795" s="1" t="str">
        <f t="shared" ref="P1795:P1858" si="31">B1795&amp;"-"&amp;C1795&amp;"-"&amp;D1795</f>
        <v>4-3-2023</v>
      </c>
    </row>
    <row r="1796" spans="1:16" x14ac:dyDescent="0.4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  <c r="P1796" s="1" t="str">
        <f t="shared" si="31"/>
        <v>4-3-2023</v>
      </c>
    </row>
    <row r="1797" spans="1:16" x14ac:dyDescent="0.4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  <c r="P1797" s="1" t="str">
        <f t="shared" si="31"/>
        <v>4-3-2023</v>
      </c>
    </row>
    <row r="1798" spans="1:16" x14ac:dyDescent="0.4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  <c r="P1798" s="1" t="str">
        <f t="shared" si="31"/>
        <v>4-3-2023</v>
      </c>
    </row>
    <row r="1799" spans="1:16" x14ac:dyDescent="0.4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  <c r="P1799" s="1" t="str">
        <f t="shared" si="31"/>
        <v>5-3-2023</v>
      </c>
    </row>
    <row r="1800" spans="1:16" x14ac:dyDescent="0.4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  <c r="P1800" s="1" t="str">
        <f t="shared" si="31"/>
        <v>5-3-2023</v>
      </c>
    </row>
    <row r="1801" spans="1:16" x14ac:dyDescent="0.4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  <c r="P1801" s="1" t="str">
        <f t="shared" si="31"/>
        <v>5-3-2023</v>
      </c>
    </row>
    <row r="1802" spans="1:16" x14ac:dyDescent="0.4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  <c r="P1802" s="1" t="str">
        <f t="shared" si="31"/>
        <v>6-3-2023</v>
      </c>
    </row>
    <row r="1803" spans="1:16" x14ac:dyDescent="0.4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  <c r="P1803" s="1" t="str">
        <f t="shared" si="31"/>
        <v>6-3-2023</v>
      </c>
    </row>
    <row r="1804" spans="1:16" x14ac:dyDescent="0.4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  <c r="P1804" s="1" t="str">
        <f t="shared" si="31"/>
        <v>6-3-2023</v>
      </c>
    </row>
    <row r="1805" spans="1:16" x14ac:dyDescent="0.4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  <c r="P1805" s="1" t="str">
        <f t="shared" si="31"/>
        <v>6-3-2023</v>
      </c>
    </row>
    <row r="1806" spans="1:16" x14ac:dyDescent="0.4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  <c r="P1806" s="1" t="str">
        <f t="shared" si="31"/>
        <v>7-3-2023</v>
      </c>
    </row>
    <row r="1807" spans="1:16" x14ac:dyDescent="0.4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  <c r="P1807" s="1" t="str">
        <f t="shared" si="31"/>
        <v>7-3-2023</v>
      </c>
    </row>
    <row r="1808" spans="1:16" x14ac:dyDescent="0.4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  <c r="P1808" s="1" t="str">
        <f t="shared" si="31"/>
        <v>7-3-2023</v>
      </c>
    </row>
    <row r="1809" spans="1:16" x14ac:dyDescent="0.4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  <c r="P1809" s="1" t="str">
        <f t="shared" si="31"/>
        <v>7-3-2023</v>
      </c>
    </row>
    <row r="1810" spans="1:16" x14ac:dyDescent="0.4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  <c r="P1810" s="1" t="str">
        <f t="shared" si="31"/>
        <v>8-3-2023</v>
      </c>
    </row>
    <row r="1811" spans="1:16" x14ac:dyDescent="0.4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  <c r="P1811" s="1" t="str">
        <f t="shared" si="31"/>
        <v>8-3-2023</v>
      </c>
    </row>
    <row r="1812" spans="1:16" x14ac:dyDescent="0.4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  <c r="P1812" s="1" t="str">
        <f t="shared" si="31"/>
        <v>8-3-2023</v>
      </c>
    </row>
    <row r="1813" spans="1:16" x14ac:dyDescent="0.4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  <c r="P1813" s="1" t="str">
        <f t="shared" si="31"/>
        <v>9-3-2023</v>
      </c>
    </row>
    <row r="1814" spans="1:16" x14ac:dyDescent="0.4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  <c r="P1814" s="1" t="str">
        <f t="shared" si="31"/>
        <v>9-3-2023</v>
      </c>
    </row>
    <row r="1815" spans="1:16" x14ac:dyDescent="0.4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  <c r="P1815" s="1" t="str">
        <f t="shared" si="31"/>
        <v>9-3-2023</v>
      </c>
    </row>
    <row r="1816" spans="1:16" x14ac:dyDescent="0.4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  <c r="P1816" s="1" t="str">
        <f t="shared" si="31"/>
        <v>9-3-2023</v>
      </c>
    </row>
    <row r="1817" spans="1:16" x14ac:dyDescent="0.4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  <c r="P1817" s="1" t="str">
        <f t="shared" si="31"/>
        <v>10-3-2023</v>
      </c>
    </row>
    <row r="1818" spans="1:16" x14ac:dyDescent="0.4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  <c r="P1818" s="1" t="str">
        <f t="shared" si="31"/>
        <v>10-3-2023</v>
      </c>
    </row>
    <row r="1819" spans="1:16" x14ac:dyDescent="0.4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  <c r="P1819" s="1" t="str">
        <f t="shared" si="31"/>
        <v>10-3-2023</v>
      </c>
    </row>
    <row r="1820" spans="1:16" x14ac:dyDescent="0.4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  <c r="P1820" s="1" t="str">
        <f t="shared" si="31"/>
        <v>10-3-2023</v>
      </c>
    </row>
    <row r="1821" spans="1:16" x14ac:dyDescent="0.4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  <c r="P1821" s="1" t="str">
        <f t="shared" si="31"/>
        <v>11-3-2023</v>
      </c>
    </row>
    <row r="1822" spans="1:16" x14ac:dyDescent="0.4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  <c r="P1822" s="1" t="str">
        <f t="shared" si="31"/>
        <v>11-3-2023</v>
      </c>
    </row>
    <row r="1823" spans="1:16" x14ac:dyDescent="0.4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  <c r="P1823" s="1" t="str">
        <f t="shared" si="31"/>
        <v>11-3-2023</v>
      </c>
    </row>
    <row r="1824" spans="1:16" x14ac:dyDescent="0.4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  <c r="P1824" s="1" t="str">
        <f t="shared" si="31"/>
        <v>11-3-2023</v>
      </c>
    </row>
    <row r="1825" spans="1:16" x14ac:dyDescent="0.4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  <c r="P1825" s="1" t="str">
        <f t="shared" si="31"/>
        <v>12-3-2023</v>
      </c>
    </row>
    <row r="1826" spans="1:16" x14ac:dyDescent="0.4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  <c r="P1826" s="1" t="str">
        <f t="shared" si="31"/>
        <v>12-3-2023</v>
      </c>
    </row>
    <row r="1827" spans="1:16" x14ac:dyDescent="0.4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  <c r="P1827" s="1" t="str">
        <f t="shared" si="31"/>
        <v>12-3-2023</v>
      </c>
    </row>
    <row r="1828" spans="1:16" x14ac:dyDescent="0.4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  <c r="P1828" s="1" t="str">
        <f t="shared" si="31"/>
        <v>12-3-2023</v>
      </c>
    </row>
    <row r="1829" spans="1:16" x14ac:dyDescent="0.4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  <c r="P1829" s="1" t="str">
        <f t="shared" si="31"/>
        <v>13-3-2023</v>
      </c>
    </row>
    <row r="1830" spans="1:16" x14ac:dyDescent="0.4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  <c r="P1830" s="1" t="str">
        <f t="shared" si="31"/>
        <v>13-3-2023</v>
      </c>
    </row>
    <row r="1831" spans="1:16" x14ac:dyDescent="0.4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  <c r="P1831" s="1" t="str">
        <f t="shared" si="31"/>
        <v>13-3-2023</v>
      </c>
    </row>
    <row r="1832" spans="1:16" x14ac:dyDescent="0.4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  <c r="P1832" s="1" t="str">
        <f t="shared" si="31"/>
        <v>13-3-2023</v>
      </c>
    </row>
    <row r="1833" spans="1:16" x14ac:dyDescent="0.4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  <c r="P1833" s="1" t="str">
        <f t="shared" si="31"/>
        <v>14-3-2023</v>
      </c>
    </row>
    <row r="1834" spans="1:16" x14ac:dyDescent="0.4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  <c r="P1834" s="1" t="str">
        <f t="shared" si="31"/>
        <v>14-3-2023</v>
      </c>
    </row>
    <row r="1835" spans="1:16" x14ac:dyDescent="0.4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  <c r="P1835" s="1" t="str">
        <f t="shared" si="31"/>
        <v>14-3-2023</v>
      </c>
    </row>
    <row r="1836" spans="1:16" x14ac:dyDescent="0.4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  <c r="P1836" s="1" t="str">
        <f t="shared" si="31"/>
        <v>15-3-2023</v>
      </c>
    </row>
    <row r="1837" spans="1:16" x14ac:dyDescent="0.4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  <c r="P1837" s="1" t="str">
        <f t="shared" si="31"/>
        <v>15-3-2023</v>
      </c>
    </row>
    <row r="1838" spans="1:16" x14ac:dyDescent="0.4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  <c r="P1838" s="1" t="str">
        <f t="shared" si="31"/>
        <v>15-3-2023</v>
      </c>
    </row>
    <row r="1839" spans="1:16" x14ac:dyDescent="0.4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  <c r="P1839" s="1" t="str">
        <f t="shared" si="31"/>
        <v>15-3-2023</v>
      </c>
    </row>
    <row r="1840" spans="1:16" x14ac:dyDescent="0.4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  <c r="P1840" s="1" t="str">
        <f t="shared" si="31"/>
        <v>16-3-2023</v>
      </c>
    </row>
    <row r="1841" spans="1:16" x14ac:dyDescent="0.4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  <c r="P1841" s="1" t="str">
        <f t="shared" si="31"/>
        <v>16-3-2023</v>
      </c>
    </row>
    <row r="1842" spans="1:16" x14ac:dyDescent="0.4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  <c r="P1842" s="1" t="str">
        <f t="shared" si="31"/>
        <v>16-3-2023</v>
      </c>
    </row>
    <row r="1843" spans="1:16" x14ac:dyDescent="0.4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  <c r="P1843" s="1" t="str">
        <f t="shared" si="31"/>
        <v>17-3-2023</v>
      </c>
    </row>
    <row r="1844" spans="1:16" x14ac:dyDescent="0.4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  <c r="P1844" s="1" t="str">
        <f t="shared" si="31"/>
        <v>17-3-2023</v>
      </c>
    </row>
    <row r="1845" spans="1:16" x14ac:dyDescent="0.4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  <c r="P1845" s="1" t="str">
        <f t="shared" si="31"/>
        <v>17-3-2023</v>
      </c>
    </row>
    <row r="1846" spans="1:16" x14ac:dyDescent="0.4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  <c r="P1846" s="1" t="str">
        <f t="shared" si="31"/>
        <v>17-3-2023</v>
      </c>
    </row>
    <row r="1847" spans="1:16" x14ac:dyDescent="0.4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  <c r="P1847" s="1" t="str">
        <f t="shared" si="31"/>
        <v>18-3-2023</v>
      </c>
    </row>
    <row r="1848" spans="1:16" x14ac:dyDescent="0.4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  <c r="P1848" s="1" t="str">
        <f t="shared" si="31"/>
        <v>18-3-2023</v>
      </c>
    </row>
    <row r="1849" spans="1:16" x14ac:dyDescent="0.4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  <c r="P1849" s="1" t="str">
        <f t="shared" si="31"/>
        <v>18-3-2023</v>
      </c>
    </row>
    <row r="1850" spans="1:16" x14ac:dyDescent="0.4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  <c r="P1850" s="1" t="str">
        <f t="shared" si="31"/>
        <v>19-3-2023</v>
      </c>
    </row>
    <row r="1851" spans="1:16" x14ac:dyDescent="0.4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  <c r="P1851" s="1" t="str">
        <f t="shared" si="31"/>
        <v>19-3-2023</v>
      </c>
    </row>
    <row r="1852" spans="1:16" x14ac:dyDescent="0.4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  <c r="P1852" s="1" t="str">
        <f t="shared" si="31"/>
        <v>19-3-2023</v>
      </c>
    </row>
    <row r="1853" spans="1:16" x14ac:dyDescent="0.4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  <c r="P1853" s="1" t="str">
        <f t="shared" si="31"/>
        <v>20-3-2023</v>
      </c>
    </row>
    <row r="1854" spans="1:16" x14ac:dyDescent="0.4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  <c r="P1854" s="1" t="str">
        <f t="shared" si="31"/>
        <v>20-3-2023</v>
      </c>
    </row>
    <row r="1855" spans="1:16" x14ac:dyDescent="0.4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  <c r="P1855" s="1" t="str">
        <f t="shared" si="31"/>
        <v>20-3-2023</v>
      </c>
    </row>
    <row r="1856" spans="1:16" x14ac:dyDescent="0.4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  <c r="P1856" s="1" t="str">
        <f t="shared" si="31"/>
        <v>20-3-2023</v>
      </c>
    </row>
    <row r="1857" spans="1:16" x14ac:dyDescent="0.4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  <c r="P1857" s="1" t="str">
        <f t="shared" si="31"/>
        <v>21-3-2023</v>
      </c>
    </row>
    <row r="1858" spans="1:16" x14ac:dyDescent="0.4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  <c r="P1858" s="1" t="str">
        <f t="shared" si="31"/>
        <v>21-3-2023</v>
      </c>
    </row>
    <row r="1859" spans="1:16" x14ac:dyDescent="0.4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  <c r="P1859" s="1" t="str">
        <f t="shared" ref="P1859:P1922" si="32">B1859&amp;"-"&amp;C1859&amp;"-"&amp;D1859</f>
        <v>21-3-2023</v>
      </c>
    </row>
    <row r="1860" spans="1:16" x14ac:dyDescent="0.4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  <c r="P1860" s="1" t="str">
        <f t="shared" si="32"/>
        <v>21-3-2023</v>
      </c>
    </row>
    <row r="1861" spans="1:16" x14ac:dyDescent="0.4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  <c r="P1861" s="1" t="str">
        <f t="shared" si="32"/>
        <v>22-3-2023</v>
      </c>
    </row>
    <row r="1862" spans="1:16" x14ac:dyDescent="0.4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  <c r="P1862" s="1" t="str">
        <f t="shared" si="32"/>
        <v>22-3-2023</v>
      </c>
    </row>
    <row r="1863" spans="1:16" x14ac:dyDescent="0.4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  <c r="P1863" s="1" t="str">
        <f t="shared" si="32"/>
        <v>22-3-2023</v>
      </c>
    </row>
    <row r="1864" spans="1:16" x14ac:dyDescent="0.4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  <c r="P1864" s="1" t="str">
        <f t="shared" si="32"/>
        <v>22-3-2023</v>
      </c>
    </row>
    <row r="1865" spans="1:16" x14ac:dyDescent="0.4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  <c r="P1865" s="1" t="str">
        <f t="shared" si="32"/>
        <v>23-3-2023</v>
      </c>
    </row>
    <row r="1866" spans="1:16" x14ac:dyDescent="0.4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  <c r="P1866" s="1" t="str">
        <f t="shared" si="32"/>
        <v>23-3-2023</v>
      </c>
    </row>
    <row r="1867" spans="1:16" x14ac:dyDescent="0.4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  <c r="P1867" s="1" t="str">
        <f t="shared" si="32"/>
        <v>23-3-2023</v>
      </c>
    </row>
    <row r="1868" spans="1:16" x14ac:dyDescent="0.4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  <c r="P1868" s="1" t="str">
        <f t="shared" si="32"/>
        <v>24-3-2023</v>
      </c>
    </row>
    <row r="1869" spans="1:16" x14ac:dyDescent="0.4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  <c r="P1869" s="1" t="str">
        <f t="shared" si="32"/>
        <v>24-3-2023</v>
      </c>
    </row>
    <row r="1870" spans="1:16" x14ac:dyDescent="0.4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  <c r="P1870" s="1" t="str">
        <f t="shared" si="32"/>
        <v>24-3-2023</v>
      </c>
    </row>
    <row r="1871" spans="1:16" x14ac:dyDescent="0.4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  <c r="P1871" s="1" t="str">
        <f t="shared" si="32"/>
        <v>24-3-2023</v>
      </c>
    </row>
    <row r="1872" spans="1:16" x14ac:dyDescent="0.4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  <c r="P1872" s="1" t="str">
        <f t="shared" si="32"/>
        <v>25-3-2023</v>
      </c>
    </row>
    <row r="1873" spans="1:16" x14ac:dyDescent="0.4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  <c r="P1873" s="1" t="str">
        <f t="shared" si="32"/>
        <v>25-3-2023</v>
      </c>
    </row>
    <row r="1874" spans="1:16" x14ac:dyDescent="0.4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  <c r="P1874" s="1" t="str">
        <f t="shared" si="32"/>
        <v>25-3-2023</v>
      </c>
    </row>
    <row r="1875" spans="1:16" x14ac:dyDescent="0.4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  <c r="P1875" s="1" t="str">
        <f t="shared" si="32"/>
        <v>26-3-2023</v>
      </c>
    </row>
    <row r="1876" spans="1:16" x14ac:dyDescent="0.4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  <c r="P1876" s="1" t="str">
        <f t="shared" si="32"/>
        <v>26-3-2023</v>
      </c>
    </row>
    <row r="1877" spans="1:16" x14ac:dyDescent="0.4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  <c r="P1877" s="1" t="str">
        <f t="shared" si="32"/>
        <v>26-3-2023</v>
      </c>
    </row>
    <row r="1878" spans="1:16" x14ac:dyDescent="0.4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  <c r="P1878" s="1" t="str">
        <f t="shared" si="32"/>
        <v>27-3-2023</v>
      </c>
    </row>
    <row r="1879" spans="1:16" x14ac:dyDescent="0.4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  <c r="P1879" s="1" t="str">
        <f t="shared" si="32"/>
        <v>27-3-2023</v>
      </c>
    </row>
    <row r="1880" spans="1:16" x14ac:dyDescent="0.4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  <c r="P1880" s="1" t="str">
        <f t="shared" si="32"/>
        <v>27-3-2023</v>
      </c>
    </row>
    <row r="1881" spans="1:16" x14ac:dyDescent="0.4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  <c r="P1881" s="1" t="str">
        <f t="shared" si="32"/>
        <v>28-3-2023</v>
      </c>
    </row>
    <row r="1882" spans="1:16" x14ac:dyDescent="0.4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  <c r="P1882" s="1" t="str">
        <f t="shared" si="32"/>
        <v>28-3-2023</v>
      </c>
    </row>
    <row r="1883" spans="1:16" x14ac:dyDescent="0.4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  <c r="P1883" s="1" t="str">
        <f t="shared" si="32"/>
        <v>28-3-2023</v>
      </c>
    </row>
    <row r="1884" spans="1:16" x14ac:dyDescent="0.4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  <c r="P1884" s="1" t="str">
        <f t="shared" si="32"/>
        <v>28-3-2023</v>
      </c>
    </row>
    <row r="1885" spans="1:16" x14ac:dyDescent="0.4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  <c r="P1885" s="1" t="str">
        <f t="shared" si="32"/>
        <v>29-3-2023</v>
      </c>
    </row>
    <row r="1886" spans="1:16" x14ac:dyDescent="0.4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  <c r="P1886" s="1" t="str">
        <f t="shared" si="32"/>
        <v>29-3-2023</v>
      </c>
    </row>
    <row r="1887" spans="1:16" x14ac:dyDescent="0.4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  <c r="P1887" s="1" t="str">
        <f t="shared" si="32"/>
        <v>29-3-2023</v>
      </c>
    </row>
    <row r="1888" spans="1:16" x14ac:dyDescent="0.4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  <c r="P1888" s="1" t="str">
        <f t="shared" si="32"/>
        <v>29-3-2023</v>
      </c>
    </row>
    <row r="1889" spans="1:16" x14ac:dyDescent="0.4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  <c r="P1889" s="1" t="str">
        <f t="shared" si="32"/>
        <v>30-3-2023</v>
      </c>
    </row>
    <row r="1890" spans="1:16" x14ac:dyDescent="0.4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  <c r="P1890" s="1" t="str">
        <f t="shared" si="32"/>
        <v>30-3-2023</v>
      </c>
    </row>
    <row r="1891" spans="1:16" x14ac:dyDescent="0.4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  <c r="P1891" s="1" t="str">
        <f t="shared" si="32"/>
        <v>30-3-2023</v>
      </c>
    </row>
    <row r="1892" spans="1:16" x14ac:dyDescent="0.4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  <c r="P1892" s="1" t="str">
        <f t="shared" si="32"/>
        <v>31-3-2023</v>
      </c>
    </row>
    <row r="1893" spans="1:16" x14ac:dyDescent="0.4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  <c r="P1893" s="1" t="str">
        <f t="shared" si="32"/>
        <v>31-3-2023</v>
      </c>
    </row>
    <row r="1894" spans="1:16" x14ac:dyDescent="0.4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  <c r="P1894" s="1" t="str">
        <f t="shared" si="32"/>
        <v>31-3-2023</v>
      </c>
    </row>
    <row r="1895" spans="1:16" x14ac:dyDescent="0.4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  <c r="P1895" s="1" t="str">
        <f t="shared" si="32"/>
        <v>1-4-2023</v>
      </c>
    </row>
    <row r="1896" spans="1:16" x14ac:dyDescent="0.4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  <c r="P1896" s="1" t="str">
        <f t="shared" si="32"/>
        <v>1-4-2023</v>
      </c>
    </row>
    <row r="1897" spans="1:16" x14ac:dyDescent="0.4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  <c r="P1897" s="1" t="str">
        <f t="shared" si="32"/>
        <v>1-4-2023</v>
      </c>
    </row>
    <row r="1898" spans="1:16" x14ac:dyDescent="0.4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  <c r="P1898" s="1" t="str">
        <f t="shared" si="32"/>
        <v>1-4-2023</v>
      </c>
    </row>
    <row r="1899" spans="1:16" x14ac:dyDescent="0.4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  <c r="P1899" s="1" t="str">
        <f t="shared" si="32"/>
        <v>2-4-2023</v>
      </c>
    </row>
    <row r="1900" spans="1:16" x14ac:dyDescent="0.4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  <c r="P1900" s="1" t="str">
        <f t="shared" si="32"/>
        <v>2-4-2023</v>
      </c>
    </row>
    <row r="1901" spans="1:16" x14ac:dyDescent="0.4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  <c r="P1901" s="1" t="str">
        <f t="shared" si="32"/>
        <v>2-4-2023</v>
      </c>
    </row>
    <row r="1902" spans="1:16" x14ac:dyDescent="0.4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  <c r="P1902" s="1" t="str">
        <f t="shared" si="32"/>
        <v>3-4-2023</v>
      </c>
    </row>
    <row r="1903" spans="1:16" x14ac:dyDescent="0.4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  <c r="P1903" s="1" t="str">
        <f t="shared" si="32"/>
        <v>3-4-2023</v>
      </c>
    </row>
    <row r="1904" spans="1:16" x14ac:dyDescent="0.4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  <c r="P1904" s="1" t="str">
        <f t="shared" si="32"/>
        <v>3-4-2023</v>
      </c>
    </row>
    <row r="1905" spans="1:16" x14ac:dyDescent="0.4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  <c r="P1905" s="1" t="str">
        <f t="shared" si="32"/>
        <v>3-4-2023</v>
      </c>
    </row>
    <row r="1906" spans="1:16" x14ac:dyDescent="0.4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  <c r="P1906" s="1" t="str">
        <f t="shared" si="32"/>
        <v>4-4-2023</v>
      </c>
    </row>
    <row r="1907" spans="1:16" x14ac:dyDescent="0.4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  <c r="P1907" s="1" t="str">
        <f t="shared" si="32"/>
        <v>4-4-2023</v>
      </c>
    </row>
    <row r="1908" spans="1:16" x14ac:dyDescent="0.4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  <c r="P1908" s="1" t="str">
        <f t="shared" si="32"/>
        <v>4-4-2023</v>
      </c>
    </row>
    <row r="1909" spans="1:16" x14ac:dyDescent="0.4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  <c r="P1909" s="1" t="str">
        <f t="shared" si="32"/>
        <v>5-4-2023</v>
      </c>
    </row>
    <row r="1910" spans="1:16" x14ac:dyDescent="0.4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  <c r="P1910" s="1" t="str">
        <f t="shared" si="32"/>
        <v>5-4-2023</v>
      </c>
    </row>
    <row r="1911" spans="1:16" x14ac:dyDescent="0.4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  <c r="P1911" s="1" t="str">
        <f t="shared" si="32"/>
        <v>5-4-2023</v>
      </c>
    </row>
    <row r="1912" spans="1:16" x14ac:dyDescent="0.4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  <c r="P1912" s="1" t="str">
        <f t="shared" si="32"/>
        <v>5-4-2023</v>
      </c>
    </row>
    <row r="1913" spans="1:16" x14ac:dyDescent="0.4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  <c r="P1913" s="1" t="str">
        <f t="shared" si="32"/>
        <v>6-4-2023</v>
      </c>
    </row>
    <row r="1914" spans="1:16" x14ac:dyDescent="0.4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  <c r="P1914" s="1" t="str">
        <f t="shared" si="32"/>
        <v>6-4-2023</v>
      </c>
    </row>
    <row r="1915" spans="1:16" x14ac:dyDescent="0.4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  <c r="P1915" s="1" t="str">
        <f t="shared" si="32"/>
        <v>6-4-2023</v>
      </c>
    </row>
    <row r="1916" spans="1:16" x14ac:dyDescent="0.4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  <c r="P1916" s="1" t="str">
        <f t="shared" si="32"/>
        <v>7-4-2023</v>
      </c>
    </row>
    <row r="1917" spans="1:16" x14ac:dyDescent="0.4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  <c r="P1917" s="1" t="str">
        <f t="shared" si="32"/>
        <v>7-4-2023</v>
      </c>
    </row>
    <row r="1918" spans="1:16" x14ac:dyDescent="0.4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  <c r="P1918" s="1" t="str">
        <f t="shared" si="32"/>
        <v>7-4-2023</v>
      </c>
    </row>
    <row r="1919" spans="1:16" x14ac:dyDescent="0.4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  <c r="P1919" s="1" t="str">
        <f t="shared" si="32"/>
        <v>7-4-2023</v>
      </c>
    </row>
    <row r="1920" spans="1:16" x14ac:dyDescent="0.4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  <c r="P1920" s="1" t="str">
        <f t="shared" si="32"/>
        <v>8-4-2023</v>
      </c>
    </row>
    <row r="1921" spans="1:16" x14ac:dyDescent="0.4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  <c r="P1921" s="1" t="str">
        <f t="shared" si="32"/>
        <v>8-4-2023</v>
      </c>
    </row>
    <row r="1922" spans="1:16" x14ac:dyDescent="0.4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  <c r="P1922" s="1" t="str">
        <f t="shared" si="32"/>
        <v>8-4-2023</v>
      </c>
    </row>
    <row r="1923" spans="1:16" x14ac:dyDescent="0.4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  <c r="P1923" s="1" t="str">
        <f t="shared" ref="P1923:P1986" si="33">B1923&amp;"-"&amp;C1923&amp;"-"&amp;D1923</f>
        <v>9-4-2023</v>
      </c>
    </row>
    <row r="1924" spans="1:16" x14ac:dyDescent="0.4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  <c r="P1924" s="1" t="str">
        <f t="shared" si="33"/>
        <v>9-4-2023</v>
      </c>
    </row>
    <row r="1925" spans="1:16" x14ac:dyDescent="0.4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  <c r="P1925" s="1" t="str">
        <f t="shared" si="33"/>
        <v>9-4-2023</v>
      </c>
    </row>
    <row r="1926" spans="1:16" x14ac:dyDescent="0.4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  <c r="P1926" s="1" t="str">
        <f t="shared" si="33"/>
        <v>9-4-2023</v>
      </c>
    </row>
    <row r="1927" spans="1:16" x14ac:dyDescent="0.4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  <c r="P1927" s="1" t="str">
        <f t="shared" si="33"/>
        <v>10-4-2023</v>
      </c>
    </row>
    <row r="1928" spans="1:16" x14ac:dyDescent="0.4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  <c r="P1928" s="1" t="str">
        <f t="shared" si="33"/>
        <v>10-4-2023</v>
      </c>
    </row>
    <row r="1929" spans="1:16" x14ac:dyDescent="0.4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  <c r="P1929" s="1" t="str">
        <f t="shared" si="33"/>
        <v>10-4-2023</v>
      </c>
    </row>
    <row r="1930" spans="1:16" x14ac:dyDescent="0.4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  <c r="P1930" s="1" t="str">
        <f t="shared" si="33"/>
        <v>10-4-2023</v>
      </c>
    </row>
    <row r="1931" spans="1:16" x14ac:dyDescent="0.4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  <c r="P1931" s="1" t="str">
        <f t="shared" si="33"/>
        <v>11-4-2023</v>
      </c>
    </row>
    <row r="1932" spans="1:16" x14ac:dyDescent="0.4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  <c r="P1932" s="1" t="str">
        <f t="shared" si="33"/>
        <v>11-4-2023</v>
      </c>
    </row>
    <row r="1933" spans="1:16" x14ac:dyDescent="0.4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  <c r="P1933" s="1" t="str">
        <f t="shared" si="33"/>
        <v>11-4-2023</v>
      </c>
    </row>
    <row r="1934" spans="1:16" x14ac:dyDescent="0.4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  <c r="P1934" s="1" t="str">
        <f t="shared" si="33"/>
        <v>12-4-2023</v>
      </c>
    </row>
    <row r="1935" spans="1:16" x14ac:dyDescent="0.4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  <c r="P1935" s="1" t="str">
        <f t="shared" si="33"/>
        <v>12-4-2023</v>
      </c>
    </row>
    <row r="1936" spans="1:16" x14ac:dyDescent="0.4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  <c r="P1936" s="1" t="str">
        <f t="shared" si="33"/>
        <v>12-4-2023</v>
      </c>
    </row>
    <row r="1937" spans="1:16" x14ac:dyDescent="0.4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  <c r="P1937" s="1" t="str">
        <f t="shared" si="33"/>
        <v>13-4-2023</v>
      </c>
    </row>
    <row r="1938" spans="1:16" x14ac:dyDescent="0.4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  <c r="P1938" s="1" t="str">
        <f t="shared" si="33"/>
        <v>13-4-2023</v>
      </c>
    </row>
    <row r="1939" spans="1:16" x14ac:dyDescent="0.4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  <c r="P1939" s="1" t="str">
        <f t="shared" si="33"/>
        <v>13-4-2023</v>
      </c>
    </row>
    <row r="1940" spans="1:16" x14ac:dyDescent="0.4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  <c r="P1940" s="1" t="str">
        <f t="shared" si="33"/>
        <v>13-4-2023</v>
      </c>
    </row>
    <row r="1941" spans="1:16" x14ac:dyDescent="0.4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  <c r="P1941" s="1" t="str">
        <f t="shared" si="33"/>
        <v>14-4-2023</v>
      </c>
    </row>
    <row r="1942" spans="1:16" x14ac:dyDescent="0.4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  <c r="P1942" s="1" t="str">
        <f t="shared" si="33"/>
        <v>14-4-2023</v>
      </c>
    </row>
    <row r="1943" spans="1:16" x14ac:dyDescent="0.4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  <c r="P1943" s="1" t="str">
        <f t="shared" si="33"/>
        <v>14-4-2023</v>
      </c>
    </row>
    <row r="1944" spans="1:16" x14ac:dyDescent="0.4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  <c r="P1944" s="1" t="str">
        <f t="shared" si="33"/>
        <v>15-4-2023</v>
      </c>
    </row>
    <row r="1945" spans="1:16" x14ac:dyDescent="0.4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  <c r="P1945" s="1" t="str">
        <f t="shared" si="33"/>
        <v>15-4-2023</v>
      </c>
    </row>
    <row r="1946" spans="1:16" x14ac:dyDescent="0.4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  <c r="P1946" s="1" t="str">
        <f t="shared" si="33"/>
        <v>15-4-2023</v>
      </c>
    </row>
    <row r="1947" spans="1:16" x14ac:dyDescent="0.4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  <c r="P1947" s="1" t="str">
        <f t="shared" si="33"/>
        <v>15-4-2023</v>
      </c>
    </row>
    <row r="1948" spans="1:16" x14ac:dyDescent="0.4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  <c r="P1948" s="1" t="str">
        <f t="shared" si="33"/>
        <v>16-4-2023</v>
      </c>
    </row>
    <row r="1949" spans="1:16" x14ac:dyDescent="0.4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  <c r="P1949" s="1" t="str">
        <f t="shared" si="33"/>
        <v>16-4-2023</v>
      </c>
    </row>
    <row r="1950" spans="1:16" x14ac:dyDescent="0.4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  <c r="P1950" s="1" t="str">
        <f t="shared" si="33"/>
        <v>16-4-2023</v>
      </c>
    </row>
    <row r="1951" spans="1:16" x14ac:dyDescent="0.4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  <c r="P1951" s="1" t="str">
        <f t="shared" si="33"/>
        <v>17-4-2023</v>
      </c>
    </row>
    <row r="1952" spans="1:16" x14ac:dyDescent="0.4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  <c r="P1952" s="1" t="str">
        <f t="shared" si="33"/>
        <v>17-4-2023</v>
      </c>
    </row>
    <row r="1953" spans="1:16" x14ac:dyDescent="0.4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  <c r="P1953" s="1" t="str">
        <f t="shared" si="33"/>
        <v>17-4-2023</v>
      </c>
    </row>
    <row r="1954" spans="1:16" x14ac:dyDescent="0.4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  <c r="P1954" s="1" t="str">
        <f t="shared" si="33"/>
        <v>17-4-2023</v>
      </c>
    </row>
    <row r="1955" spans="1:16" x14ac:dyDescent="0.4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  <c r="P1955" s="1" t="str">
        <f t="shared" si="33"/>
        <v>18-4-2023</v>
      </c>
    </row>
    <row r="1956" spans="1:16" x14ac:dyDescent="0.4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  <c r="P1956" s="1" t="str">
        <f t="shared" si="33"/>
        <v>18-4-2023</v>
      </c>
    </row>
    <row r="1957" spans="1:16" x14ac:dyDescent="0.4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  <c r="P1957" s="1" t="str">
        <f t="shared" si="33"/>
        <v>18-4-2023</v>
      </c>
    </row>
    <row r="1958" spans="1:16" x14ac:dyDescent="0.4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  <c r="P1958" s="1" t="str">
        <f t="shared" si="33"/>
        <v>18-4-2023</v>
      </c>
    </row>
    <row r="1959" spans="1:16" x14ac:dyDescent="0.4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  <c r="P1959" s="1" t="str">
        <f t="shared" si="33"/>
        <v>19-4-2023</v>
      </c>
    </row>
    <row r="1960" spans="1:16" x14ac:dyDescent="0.4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  <c r="P1960" s="1" t="str">
        <f t="shared" si="33"/>
        <v>19-4-2023</v>
      </c>
    </row>
    <row r="1961" spans="1:16" x14ac:dyDescent="0.4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  <c r="P1961" s="1" t="str">
        <f t="shared" si="33"/>
        <v>19-4-2023</v>
      </c>
    </row>
    <row r="1962" spans="1:16" x14ac:dyDescent="0.4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  <c r="P1962" s="1" t="str">
        <f t="shared" si="33"/>
        <v>19-4-2023</v>
      </c>
    </row>
    <row r="1963" spans="1:16" x14ac:dyDescent="0.4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  <c r="P1963" s="1" t="str">
        <f t="shared" si="33"/>
        <v>20-4-2023</v>
      </c>
    </row>
    <row r="1964" spans="1:16" x14ac:dyDescent="0.4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  <c r="P1964" s="1" t="str">
        <f t="shared" si="33"/>
        <v>20-4-2023</v>
      </c>
    </row>
    <row r="1965" spans="1:16" x14ac:dyDescent="0.4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  <c r="P1965" s="1" t="str">
        <f t="shared" si="33"/>
        <v>20-4-2023</v>
      </c>
    </row>
    <row r="1966" spans="1:16" x14ac:dyDescent="0.4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  <c r="P1966" s="1" t="str">
        <f t="shared" si="33"/>
        <v>20-4-2023</v>
      </c>
    </row>
    <row r="1967" spans="1:16" x14ac:dyDescent="0.4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  <c r="P1967" s="1" t="str">
        <f t="shared" si="33"/>
        <v>21-4-2023</v>
      </c>
    </row>
    <row r="1968" spans="1:16" x14ac:dyDescent="0.4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  <c r="P1968" s="1" t="str">
        <f t="shared" si="33"/>
        <v>21-4-2023</v>
      </c>
    </row>
    <row r="1969" spans="1:16" x14ac:dyDescent="0.4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  <c r="P1969" s="1" t="str">
        <f t="shared" si="33"/>
        <v>21-4-2023</v>
      </c>
    </row>
    <row r="1970" spans="1:16" x14ac:dyDescent="0.4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  <c r="P1970" s="1" t="str">
        <f t="shared" si="33"/>
        <v>21-4-2023</v>
      </c>
    </row>
    <row r="1971" spans="1:16" x14ac:dyDescent="0.4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  <c r="P1971" s="1" t="str">
        <f t="shared" si="33"/>
        <v>22-4-2023</v>
      </c>
    </row>
    <row r="1972" spans="1:16" x14ac:dyDescent="0.4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  <c r="P1972" s="1" t="str">
        <f t="shared" si="33"/>
        <v>22-4-2023</v>
      </c>
    </row>
    <row r="1973" spans="1:16" x14ac:dyDescent="0.4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  <c r="P1973" s="1" t="str">
        <f t="shared" si="33"/>
        <v>22-4-2023</v>
      </c>
    </row>
    <row r="1974" spans="1:16" x14ac:dyDescent="0.4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  <c r="P1974" s="1" t="str">
        <f t="shared" si="33"/>
        <v>22-4-2023</v>
      </c>
    </row>
    <row r="1975" spans="1:16" x14ac:dyDescent="0.4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  <c r="P1975" s="1" t="str">
        <f t="shared" si="33"/>
        <v>23-4-2023</v>
      </c>
    </row>
    <row r="1976" spans="1:16" x14ac:dyDescent="0.4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  <c r="P1976" s="1" t="str">
        <f t="shared" si="33"/>
        <v>23-4-2023</v>
      </c>
    </row>
    <row r="1977" spans="1:16" x14ac:dyDescent="0.4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  <c r="P1977" s="1" t="str">
        <f t="shared" si="33"/>
        <v>23-4-2023</v>
      </c>
    </row>
    <row r="1978" spans="1:16" x14ac:dyDescent="0.4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  <c r="P1978" s="1" t="str">
        <f t="shared" si="33"/>
        <v>24-4-2023</v>
      </c>
    </row>
    <row r="1979" spans="1:16" x14ac:dyDescent="0.4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  <c r="P1979" s="1" t="str">
        <f t="shared" si="33"/>
        <v>24-4-2023</v>
      </c>
    </row>
    <row r="1980" spans="1:16" x14ac:dyDescent="0.4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  <c r="P1980" s="1" t="str">
        <f t="shared" si="33"/>
        <v>24-4-2023</v>
      </c>
    </row>
    <row r="1981" spans="1:16" x14ac:dyDescent="0.4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  <c r="P1981" s="1" t="str">
        <f t="shared" si="33"/>
        <v>25-4-2023</v>
      </c>
    </row>
    <row r="1982" spans="1:16" x14ac:dyDescent="0.4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  <c r="P1982" s="1" t="str">
        <f t="shared" si="33"/>
        <v>25-4-2023</v>
      </c>
    </row>
    <row r="1983" spans="1:16" x14ac:dyDescent="0.4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  <c r="P1983" s="1" t="str">
        <f t="shared" si="33"/>
        <v>25-4-2023</v>
      </c>
    </row>
    <row r="1984" spans="1:16" x14ac:dyDescent="0.4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  <c r="P1984" s="1" t="str">
        <f t="shared" si="33"/>
        <v>26-4-2023</v>
      </c>
    </row>
    <row r="1985" spans="1:16" x14ac:dyDescent="0.4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  <c r="P1985" s="1" t="str">
        <f t="shared" si="33"/>
        <v>26-4-2023</v>
      </c>
    </row>
    <row r="1986" spans="1:16" x14ac:dyDescent="0.4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  <c r="P1986" s="1" t="str">
        <f t="shared" si="33"/>
        <v>26-4-2023</v>
      </c>
    </row>
    <row r="1987" spans="1:16" x14ac:dyDescent="0.4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  <c r="P1987" s="1" t="str">
        <f t="shared" ref="P1987:P2050" si="34">B1987&amp;"-"&amp;C1987&amp;"-"&amp;D1987</f>
        <v>26-4-2023</v>
      </c>
    </row>
    <row r="1988" spans="1:16" x14ac:dyDescent="0.4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  <c r="P1988" s="1" t="str">
        <f t="shared" si="34"/>
        <v>27-4-2023</v>
      </c>
    </row>
    <row r="1989" spans="1:16" x14ac:dyDescent="0.4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  <c r="P1989" s="1" t="str">
        <f t="shared" si="34"/>
        <v>27-4-2023</v>
      </c>
    </row>
    <row r="1990" spans="1:16" x14ac:dyDescent="0.4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  <c r="P1990" s="1" t="str">
        <f t="shared" si="34"/>
        <v>27-4-2023</v>
      </c>
    </row>
    <row r="1991" spans="1:16" x14ac:dyDescent="0.4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  <c r="P1991" s="1" t="str">
        <f t="shared" si="34"/>
        <v>27-4-2023</v>
      </c>
    </row>
    <row r="1992" spans="1:16" x14ac:dyDescent="0.4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  <c r="P1992" s="1" t="str">
        <f t="shared" si="34"/>
        <v>28-4-2023</v>
      </c>
    </row>
    <row r="1993" spans="1:16" x14ac:dyDescent="0.4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  <c r="P1993" s="1" t="str">
        <f t="shared" si="34"/>
        <v>28-4-2023</v>
      </c>
    </row>
    <row r="1994" spans="1:16" x14ac:dyDescent="0.4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  <c r="P1994" s="1" t="str">
        <f t="shared" si="34"/>
        <v>28-4-2023</v>
      </c>
    </row>
    <row r="1995" spans="1:16" x14ac:dyDescent="0.4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  <c r="P1995" s="1" t="str">
        <f t="shared" si="34"/>
        <v>28-4-2023</v>
      </c>
    </row>
    <row r="1996" spans="1:16" x14ac:dyDescent="0.4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  <c r="P1996" s="1" t="str">
        <f t="shared" si="34"/>
        <v>29-4-2023</v>
      </c>
    </row>
    <row r="1997" spans="1:16" x14ac:dyDescent="0.4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  <c r="P1997" s="1" t="str">
        <f t="shared" si="34"/>
        <v>29-4-2023</v>
      </c>
    </row>
    <row r="1998" spans="1:16" x14ac:dyDescent="0.4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  <c r="P1998" s="1" t="str">
        <f t="shared" si="34"/>
        <v>29-4-2023</v>
      </c>
    </row>
    <row r="1999" spans="1:16" x14ac:dyDescent="0.4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  <c r="P1999" s="1" t="str">
        <f t="shared" si="34"/>
        <v>29-4-2023</v>
      </c>
    </row>
    <row r="2000" spans="1:16" x14ac:dyDescent="0.4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  <c r="P2000" s="1" t="str">
        <f t="shared" si="34"/>
        <v>30-4-2023</v>
      </c>
    </row>
    <row r="2001" spans="1:16" x14ac:dyDescent="0.4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  <c r="P2001" s="1" t="str">
        <f t="shared" si="34"/>
        <v>30-4-2023</v>
      </c>
    </row>
    <row r="2002" spans="1:16" x14ac:dyDescent="0.4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  <c r="P2002" s="1" t="str">
        <f t="shared" si="34"/>
        <v>30-4-2023</v>
      </c>
    </row>
    <row r="2003" spans="1:16" x14ac:dyDescent="0.4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  <c r="P2003" s="1" t="str">
        <f t="shared" si="34"/>
        <v>1-5-2023</v>
      </c>
    </row>
    <row r="2004" spans="1:16" x14ac:dyDescent="0.4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  <c r="P2004" s="1" t="str">
        <f t="shared" si="34"/>
        <v>1-5-2023</v>
      </c>
    </row>
    <row r="2005" spans="1:16" x14ac:dyDescent="0.4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  <c r="P2005" s="1" t="str">
        <f t="shared" si="34"/>
        <v>1-5-2023</v>
      </c>
    </row>
    <row r="2006" spans="1:16" x14ac:dyDescent="0.4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  <c r="P2006" s="1" t="str">
        <f t="shared" si="34"/>
        <v>2-5-2023</v>
      </c>
    </row>
    <row r="2007" spans="1:16" x14ac:dyDescent="0.4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  <c r="P2007" s="1" t="str">
        <f t="shared" si="34"/>
        <v>2-5-2023</v>
      </c>
    </row>
    <row r="2008" spans="1:16" x14ac:dyDescent="0.4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  <c r="P2008" s="1" t="str">
        <f t="shared" si="34"/>
        <v>2-5-2023</v>
      </c>
    </row>
    <row r="2009" spans="1:16" x14ac:dyDescent="0.4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  <c r="P2009" s="1" t="str">
        <f t="shared" si="34"/>
        <v>2-5-2023</v>
      </c>
    </row>
    <row r="2010" spans="1:16" x14ac:dyDescent="0.4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  <c r="P2010" s="1" t="str">
        <f t="shared" si="34"/>
        <v>3-5-2023</v>
      </c>
    </row>
    <row r="2011" spans="1:16" x14ac:dyDescent="0.4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  <c r="P2011" s="1" t="str">
        <f t="shared" si="34"/>
        <v>3-5-2023</v>
      </c>
    </row>
    <row r="2012" spans="1:16" x14ac:dyDescent="0.4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  <c r="P2012" s="1" t="str">
        <f t="shared" si="34"/>
        <v>3-5-2023</v>
      </c>
    </row>
    <row r="2013" spans="1:16" x14ac:dyDescent="0.4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  <c r="P2013" s="1" t="str">
        <f t="shared" si="34"/>
        <v>4-5-2023</v>
      </c>
    </row>
    <row r="2014" spans="1:16" x14ac:dyDescent="0.4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  <c r="P2014" s="1" t="str">
        <f t="shared" si="34"/>
        <v>4-5-2023</v>
      </c>
    </row>
    <row r="2015" spans="1:16" x14ac:dyDescent="0.4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  <c r="P2015" s="1" t="str">
        <f t="shared" si="34"/>
        <v>4-5-2023</v>
      </c>
    </row>
    <row r="2016" spans="1:16" x14ac:dyDescent="0.4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  <c r="P2016" s="1" t="str">
        <f t="shared" si="34"/>
        <v>5-5-2023</v>
      </c>
    </row>
    <row r="2017" spans="1:16" x14ac:dyDescent="0.4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  <c r="P2017" s="1" t="str">
        <f t="shared" si="34"/>
        <v>5-5-2023</v>
      </c>
    </row>
    <row r="2018" spans="1:16" x14ac:dyDescent="0.4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  <c r="P2018" s="1" t="str">
        <f t="shared" si="34"/>
        <v>5-5-2023</v>
      </c>
    </row>
    <row r="2019" spans="1:16" x14ac:dyDescent="0.4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  <c r="P2019" s="1" t="str">
        <f t="shared" si="34"/>
        <v>5-5-2023</v>
      </c>
    </row>
    <row r="2020" spans="1:16" x14ac:dyDescent="0.4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  <c r="P2020" s="1" t="str">
        <f t="shared" si="34"/>
        <v>6-5-2023</v>
      </c>
    </row>
    <row r="2021" spans="1:16" x14ac:dyDescent="0.4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  <c r="P2021" s="1" t="str">
        <f t="shared" si="34"/>
        <v>6-5-2023</v>
      </c>
    </row>
    <row r="2022" spans="1:16" x14ac:dyDescent="0.4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  <c r="P2022" s="1" t="str">
        <f t="shared" si="34"/>
        <v>6-5-2023</v>
      </c>
    </row>
    <row r="2023" spans="1:16" x14ac:dyDescent="0.4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  <c r="P2023" s="1" t="str">
        <f t="shared" si="34"/>
        <v>7-5-2023</v>
      </c>
    </row>
    <row r="2024" spans="1:16" x14ac:dyDescent="0.4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  <c r="P2024" s="1" t="str">
        <f t="shared" si="34"/>
        <v>7-5-2023</v>
      </c>
    </row>
    <row r="2025" spans="1:16" x14ac:dyDescent="0.4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  <c r="P2025" s="1" t="str">
        <f t="shared" si="34"/>
        <v>7-5-2023</v>
      </c>
    </row>
    <row r="2026" spans="1:16" x14ac:dyDescent="0.4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  <c r="P2026" s="1" t="str">
        <f t="shared" si="34"/>
        <v>7-5-2023</v>
      </c>
    </row>
    <row r="2027" spans="1:16" x14ac:dyDescent="0.4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  <c r="P2027" s="1" t="str">
        <f t="shared" si="34"/>
        <v>8-5-2023</v>
      </c>
    </row>
    <row r="2028" spans="1:16" x14ac:dyDescent="0.4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  <c r="P2028" s="1" t="str">
        <f t="shared" si="34"/>
        <v>8-5-2023</v>
      </c>
    </row>
    <row r="2029" spans="1:16" x14ac:dyDescent="0.4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  <c r="P2029" s="1" t="str">
        <f t="shared" si="34"/>
        <v>8-5-2023</v>
      </c>
    </row>
    <row r="2030" spans="1:16" x14ac:dyDescent="0.4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  <c r="P2030" s="1" t="str">
        <f t="shared" si="34"/>
        <v>9-5-2023</v>
      </c>
    </row>
    <row r="2031" spans="1:16" x14ac:dyDescent="0.4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  <c r="P2031" s="1" t="str">
        <f t="shared" si="34"/>
        <v>9-5-2023</v>
      </c>
    </row>
    <row r="2032" spans="1:16" x14ac:dyDescent="0.4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  <c r="P2032" s="1" t="str">
        <f t="shared" si="34"/>
        <v>9-5-2023</v>
      </c>
    </row>
    <row r="2033" spans="1:16" x14ac:dyDescent="0.4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  <c r="P2033" s="1" t="str">
        <f t="shared" si="34"/>
        <v>9-5-2023</v>
      </c>
    </row>
    <row r="2034" spans="1:16" x14ac:dyDescent="0.4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  <c r="P2034" s="1" t="str">
        <f t="shared" si="34"/>
        <v>10-5-2023</v>
      </c>
    </row>
    <row r="2035" spans="1:16" x14ac:dyDescent="0.4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  <c r="P2035" s="1" t="str">
        <f t="shared" si="34"/>
        <v>10-5-2023</v>
      </c>
    </row>
    <row r="2036" spans="1:16" x14ac:dyDescent="0.4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  <c r="P2036" s="1" t="str">
        <f t="shared" si="34"/>
        <v>10-5-2023</v>
      </c>
    </row>
    <row r="2037" spans="1:16" x14ac:dyDescent="0.4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  <c r="P2037" s="1" t="str">
        <f t="shared" si="34"/>
        <v>10-5-2023</v>
      </c>
    </row>
    <row r="2038" spans="1:16" x14ac:dyDescent="0.4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  <c r="P2038" s="1" t="str">
        <f t="shared" si="34"/>
        <v>11-5-2023</v>
      </c>
    </row>
    <row r="2039" spans="1:16" x14ac:dyDescent="0.4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  <c r="P2039" s="1" t="str">
        <f t="shared" si="34"/>
        <v>11-5-2023</v>
      </c>
    </row>
    <row r="2040" spans="1:16" x14ac:dyDescent="0.4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  <c r="P2040" s="1" t="str">
        <f t="shared" si="34"/>
        <v>11-5-2023</v>
      </c>
    </row>
    <row r="2041" spans="1:16" x14ac:dyDescent="0.4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  <c r="P2041" s="1" t="str">
        <f t="shared" si="34"/>
        <v>11-5-2023</v>
      </c>
    </row>
    <row r="2042" spans="1:16" x14ac:dyDescent="0.4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  <c r="P2042" s="1" t="str">
        <f t="shared" si="34"/>
        <v>12-5-2023</v>
      </c>
    </row>
    <row r="2043" spans="1:16" x14ac:dyDescent="0.4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  <c r="P2043" s="1" t="str">
        <f t="shared" si="34"/>
        <v>12-5-2023</v>
      </c>
    </row>
    <row r="2044" spans="1:16" x14ac:dyDescent="0.4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  <c r="P2044" s="1" t="str">
        <f t="shared" si="34"/>
        <v>12-5-2023</v>
      </c>
    </row>
    <row r="2045" spans="1:16" x14ac:dyDescent="0.4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  <c r="P2045" s="1" t="str">
        <f t="shared" si="34"/>
        <v>12-5-2023</v>
      </c>
    </row>
    <row r="2046" spans="1:16" x14ac:dyDescent="0.4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  <c r="P2046" s="1" t="str">
        <f t="shared" si="34"/>
        <v>13-5-2023</v>
      </c>
    </row>
    <row r="2047" spans="1:16" x14ac:dyDescent="0.4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  <c r="P2047" s="1" t="str">
        <f t="shared" si="34"/>
        <v>13-5-2023</v>
      </c>
    </row>
    <row r="2048" spans="1:16" x14ac:dyDescent="0.4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  <c r="P2048" s="1" t="str">
        <f t="shared" si="34"/>
        <v>13-5-2023</v>
      </c>
    </row>
    <row r="2049" spans="1:16" x14ac:dyDescent="0.4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  <c r="P2049" s="1" t="str">
        <f t="shared" si="34"/>
        <v>14-5-2023</v>
      </c>
    </row>
    <row r="2050" spans="1:16" x14ac:dyDescent="0.4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  <c r="P2050" s="1" t="str">
        <f t="shared" si="34"/>
        <v>14-5-2023</v>
      </c>
    </row>
    <row r="2051" spans="1:16" x14ac:dyDescent="0.4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  <c r="P2051" s="1" t="str">
        <f t="shared" ref="P2051:P2114" si="35">B2051&amp;"-"&amp;C2051&amp;"-"&amp;D2051</f>
        <v>14-5-2023</v>
      </c>
    </row>
    <row r="2052" spans="1:16" x14ac:dyDescent="0.4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  <c r="P2052" s="1" t="str">
        <f t="shared" si="35"/>
        <v>14-5-2023</v>
      </c>
    </row>
    <row r="2053" spans="1:16" x14ac:dyDescent="0.4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  <c r="P2053" s="1" t="str">
        <f t="shared" si="35"/>
        <v>15-5-2023</v>
      </c>
    </row>
    <row r="2054" spans="1:16" x14ac:dyDescent="0.4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  <c r="P2054" s="1" t="str">
        <f t="shared" si="35"/>
        <v>15-5-2023</v>
      </c>
    </row>
    <row r="2055" spans="1:16" x14ac:dyDescent="0.4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  <c r="P2055" s="1" t="str">
        <f t="shared" si="35"/>
        <v>15-5-2023</v>
      </c>
    </row>
    <row r="2056" spans="1:16" x14ac:dyDescent="0.4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  <c r="P2056" s="1" t="str">
        <f t="shared" si="35"/>
        <v>15-5-2023</v>
      </c>
    </row>
    <row r="2057" spans="1:16" x14ac:dyDescent="0.4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  <c r="P2057" s="1" t="str">
        <f t="shared" si="35"/>
        <v>16-5-2023</v>
      </c>
    </row>
    <row r="2058" spans="1:16" x14ac:dyDescent="0.4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  <c r="P2058" s="1" t="str">
        <f t="shared" si="35"/>
        <v>16-5-2023</v>
      </c>
    </row>
    <row r="2059" spans="1:16" x14ac:dyDescent="0.4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  <c r="P2059" s="1" t="str">
        <f t="shared" si="35"/>
        <v>16-5-2023</v>
      </c>
    </row>
    <row r="2060" spans="1:16" x14ac:dyDescent="0.4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  <c r="P2060" s="1" t="str">
        <f t="shared" si="35"/>
        <v>16-5-2023</v>
      </c>
    </row>
    <row r="2061" spans="1:16" x14ac:dyDescent="0.4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  <c r="P2061" s="1" t="str">
        <f t="shared" si="35"/>
        <v>17-5-2023</v>
      </c>
    </row>
    <row r="2062" spans="1:16" x14ac:dyDescent="0.4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  <c r="P2062" s="1" t="str">
        <f t="shared" si="35"/>
        <v>17-5-2023</v>
      </c>
    </row>
    <row r="2063" spans="1:16" x14ac:dyDescent="0.4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  <c r="P2063" s="1" t="str">
        <f t="shared" si="35"/>
        <v>17-5-2023</v>
      </c>
    </row>
    <row r="2064" spans="1:16" x14ac:dyDescent="0.4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  <c r="P2064" s="1" t="str">
        <f t="shared" si="35"/>
        <v>18-5-2023</v>
      </c>
    </row>
    <row r="2065" spans="1:16" x14ac:dyDescent="0.4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  <c r="P2065" s="1" t="str">
        <f t="shared" si="35"/>
        <v>18-5-2023</v>
      </c>
    </row>
    <row r="2066" spans="1:16" x14ac:dyDescent="0.4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  <c r="P2066" s="1" t="str">
        <f t="shared" si="35"/>
        <v>18-5-2023</v>
      </c>
    </row>
    <row r="2067" spans="1:16" x14ac:dyDescent="0.4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  <c r="P2067" s="1" t="str">
        <f t="shared" si="35"/>
        <v>18-5-2023</v>
      </c>
    </row>
    <row r="2068" spans="1:16" x14ac:dyDescent="0.4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  <c r="P2068" s="1" t="str">
        <f t="shared" si="35"/>
        <v>19-5-2023</v>
      </c>
    </row>
    <row r="2069" spans="1:16" x14ac:dyDescent="0.4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  <c r="P2069" s="1" t="str">
        <f t="shared" si="35"/>
        <v>19-5-2023</v>
      </c>
    </row>
    <row r="2070" spans="1:16" x14ac:dyDescent="0.4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  <c r="P2070" s="1" t="str">
        <f t="shared" si="35"/>
        <v>19-5-2023</v>
      </c>
    </row>
    <row r="2071" spans="1:16" x14ac:dyDescent="0.4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  <c r="P2071" s="1" t="str">
        <f t="shared" si="35"/>
        <v>20-5-2023</v>
      </c>
    </row>
    <row r="2072" spans="1:16" x14ac:dyDescent="0.4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  <c r="P2072" s="1" t="str">
        <f t="shared" si="35"/>
        <v>20-5-2023</v>
      </c>
    </row>
    <row r="2073" spans="1:16" x14ac:dyDescent="0.4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  <c r="P2073" s="1" t="str">
        <f t="shared" si="35"/>
        <v>20-5-2023</v>
      </c>
    </row>
    <row r="2074" spans="1:16" x14ac:dyDescent="0.4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  <c r="P2074" s="1" t="str">
        <f t="shared" si="35"/>
        <v>20-5-2023</v>
      </c>
    </row>
    <row r="2075" spans="1:16" x14ac:dyDescent="0.4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  <c r="P2075" s="1" t="str">
        <f t="shared" si="35"/>
        <v>21-5-2023</v>
      </c>
    </row>
    <row r="2076" spans="1:16" x14ac:dyDescent="0.4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  <c r="P2076" s="1" t="str">
        <f t="shared" si="35"/>
        <v>21-5-2023</v>
      </c>
    </row>
    <row r="2077" spans="1:16" x14ac:dyDescent="0.4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  <c r="P2077" s="1" t="str">
        <f t="shared" si="35"/>
        <v>21-5-2023</v>
      </c>
    </row>
    <row r="2078" spans="1:16" x14ac:dyDescent="0.4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  <c r="P2078" s="1" t="str">
        <f t="shared" si="35"/>
        <v>22-5-2023</v>
      </c>
    </row>
    <row r="2079" spans="1:16" x14ac:dyDescent="0.4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  <c r="P2079" s="1" t="str">
        <f t="shared" si="35"/>
        <v>22-5-2023</v>
      </c>
    </row>
    <row r="2080" spans="1:16" x14ac:dyDescent="0.4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  <c r="P2080" s="1" t="str">
        <f t="shared" si="35"/>
        <v>22-5-2023</v>
      </c>
    </row>
    <row r="2081" spans="1:16" x14ac:dyDescent="0.4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  <c r="P2081" s="1" t="str">
        <f t="shared" si="35"/>
        <v>23-5-2023</v>
      </c>
    </row>
    <row r="2082" spans="1:16" x14ac:dyDescent="0.4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  <c r="P2082" s="1" t="str">
        <f t="shared" si="35"/>
        <v>23-5-2023</v>
      </c>
    </row>
    <row r="2083" spans="1:16" x14ac:dyDescent="0.4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  <c r="P2083" s="1" t="str">
        <f t="shared" si="35"/>
        <v>23-5-2023</v>
      </c>
    </row>
    <row r="2084" spans="1:16" x14ac:dyDescent="0.4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  <c r="P2084" s="1" t="str">
        <f t="shared" si="35"/>
        <v>23-5-2023</v>
      </c>
    </row>
    <row r="2085" spans="1:16" x14ac:dyDescent="0.4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  <c r="P2085" s="1" t="str">
        <f t="shared" si="35"/>
        <v>24-5-2023</v>
      </c>
    </row>
    <row r="2086" spans="1:16" x14ac:dyDescent="0.4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  <c r="P2086" s="1" t="str">
        <f t="shared" si="35"/>
        <v>24-5-2023</v>
      </c>
    </row>
    <row r="2087" spans="1:16" x14ac:dyDescent="0.4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  <c r="P2087" s="1" t="str">
        <f t="shared" si="35"/>
        <v>24-5-2023</v>
      </c>
    </row>
    <row r="2088" spans="1:16" x14ac:dyDescent="0.4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  <c r="P2088" s="1" t="str">
        <f t="shared" si="35"/>
        <v>25-5-2023</v>
      </c>
    </row>
    <row r="2089" spans="1:16" x14ac:dyDescent="0.4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  <c r="P2089" s="1" t="str">
        <f t="shared" si="35"/>
        <v>25-5-2023</v>
      </c>
    </row>
    <row r="2090" spans="1:16" x14ac:dyDescent="0.4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  <c r="P2090" s="1" t="str">
        <f t="shared" si="35"/>
        <v>25-5-2023</v>
      </c>
    </row>
    <row r="2091" spans="1:16" x14ac:dyDescent="0.4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  <c r="P2091" s="1" t="str">
        <f t="shared" si="35"/>
        <v>25-5-2023</v>
      </c>
    </row>
    <row r="2092" spans="1:16" x14ac:dyDescent="0.4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  <c r="P2092" s="1" t="str">
        <f t="shared" si="35"/>
        <v>26-5-2023</v>
      </c>
    </row>
    <row r="2093" spans="1:16" x14ac:dyDescent="0.4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  <c r="P2093" s="1" t="str">
        <f t="shared" si="35"/>
        <v>26-5-2023</v>
      </c>
    </row>
    <row r="2094" spans="1:16" x14ac:dyDescent="0.4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  <c r="P2094" s="1" t="str">
        <f t="shared" si="35"/>
        <v>26-5-2023</v>
      </c>
    </row>
    <row r="2095" spans="1:16" x14ac:dyDescent="0.4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  <c r="P2095" s="1" t="str">
        <f t="shared" si="35"/>
        <v>26-5-2023</v>
      </c>
    </row>
    <row r="2096" spans="1:16" x14ac:dyDescent="0.4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  <c r="P2096" s="1" t="str">
        <f t="shared" si="35"/>
        <v>27-5-2023</v>
      </c>
    </row>
    <row r="2097" spans="1:16" x14ac:dyDescent="0.4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  <c r="P2097" s="1" t="str">
        <f t="shared" si="35"/>
        <v>27-5-2023</v>
      </c>
    </row>
    <row r="2098" spans="1:16" x14ac:dyDescent="0.4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  <c r="P2098" s="1" t="str">
        <f t="shared" si="35"/>
        <v>27-5-2023</v>
      </c>
    </row>
    <row r="2099" spans="1:16" x14ac:dyDescent="0.4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  <c r="P2099" s="1" t="str">
        <f t="shared" si="35"/>
        <v>27-5-2023</v>
      </c>
    </row>
    <row r="2100" spans="1:16" x14ac:dyDescent="0.4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  <c r="P2100" s="1" t="str">
        <f t="shared" si="35"/>
        <v>28-5-2023</v>
      </c>
    </row>
    <row r="2101" spans="1:16" x14ac:dyDescent="0.4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  <c r="P2101" s="1" t="str">
        <f t="shared" si="35"/>
        <v>28-5-2023</v>
      </c>
    </row>
    <row r="2102" spans="1:16" x14ac:dyDescent="0.4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  <c r="P2102" s="1" t="str">
        <f t="shared" si="35"/>
        <v>28-5-2023</v>
      </c>
    </row>
    <row r="2103" spans="1:16" x14ac:dyDescent="0.4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  <c r="P2103" s="1" t="str">
        <f t="shared" si="35"/>
        <v>29-5-2023</v>
      </c>
    </row>
    <row r="2104" spans="1:16" x14ac:dyDescent="0.4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  <c r="P2104" s="1" t="str">
        <f t="shared" si="35"/>
        <v>29-5-2023</v>
      </c>
    </row>
    <row r="2105" spans="1:16" x14ac:dyDescent="0.4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  <c r="P2105" s="1" t="str">
        <f t="shared" si="35"/>
        <v>29-5-2023</v>
      </c>
    </row>
    <row r="2106" spans="1:16" x14ac:dyDescent="0.4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  <c r="P2106" s="1" t="str">
        <f t="shared" si="35"/>
        <v>30-5-2023</v>
      </c>
    </row>
    <row r="2107" spans="1:16" x14ac:dyDescent="0.4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  <c r="P2107" s="1" t="str">
        <f t="shared" si="35"/>
        <v>30-5-2023</v>
      </c>
    </row>
    <row r="2108" spans="1:16" x14ac:dyDescent="0.4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  <c r="P2108" s="1" t="str">
        <f t="shared" si="35"/>
        <v>30-5-2023</v>
      </c>
    </row>
    <row r="2109" spans="1:16" x14ac:dyDescent="0.4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  <c r="P2109" s="1" t="str">
        <f t="shared" si="35"/>
        <v>30-5-2023</v>
      </c>
    </row>
    <row r="2110" spans="1:16" x14ac:dyDescent="0.4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  <c r="P2110" s="1" t="str">
        <f t="shared" si="35"/>
        <v>31-5-2023</v>
      </c>
    </row>
    <row r="2111" spans="1:16" x14ac:dyDescent="0.4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  <c r="P2111" s="1" t="str">
        <f t="shared" si="35"/>
        <v>31-5-2023</v>
      </c>
    </row>
    <row r="2112" spans="1:16" x14ac:dyDescent="0.4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  <c r="P2112" s="1" t="str">
        <f t="shared" si="35"/>
        <v>31-5-2023</v>
      </c>
    </row>
    <row r="2113" spans="1:16" x14ac:dyDescent="0.4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  <c r="P2113" s="1" t="str">
        <f t="shared" si="35"/>
        <v>31-5-2023</v>
      </c>
    </row>
    <row r="2114" spans="1:16" x14ac:dyDescent="0.4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  <c r="P2114" s="1" t="str">
        <f t="shared" si="35"/>
        <v>1-6-2023</v>
      </c>
    </row>
    <row r="2115" spans="1:16" x14ac:dyDescent="0.4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  <c r="P2115" s="1" t="str">
        <f t="shared" ref="P2115:P2178" si="36">B2115&amp;"-"&amp;C2115&amp;"-"&amp;D2115</f>
        <v>1-6-2023</v>
      </c>
    </row>
    <row r="2116" spans="1:16" x14ac:dyDescent="0.4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  <c r="P2116" s="1" t="str">
        <f t="shared" si="36"/>
        <v>1-6-2023</v>
      </c>
    </row>
    <row r="2117" spans="1:16" x14ac:dyDescent="0.4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  <c r="P2117" s="1" t="str">
        <f t="shared" si="36"/>
        <v>2-6-2023</v>
      </c>
    </row>
    <row r="2118" spans="1:16" x14ac:dyDescent="0.4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  <c r="P2118" s="1" t="str">
        <f t="shared" si="36"/>
        <v>2-6-2023</v>
      </c>
    </row>
    <row r="2119" spans="1:16" x14ac:dyDescent="0.4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  <c r="P2119" s="1" t="str">
        <f t="shared" si="36"/>
        <v>2-6-2023</v>
      </c>
    </row>
    <row r="2120" spans="1:16" x14ac:dyDescent="0.4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  <c r="P2120" s="1" t="str">
        <f t="shared" si="36"/>
        <v>2-6-2023</v>
      </c>
    </row>
    <row r="2121" spans="1:16" x14ac:dyDescent="0.4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  <c r="P2121" s="1" t="str">
        <f t="shared" si="36"/>
        <v>3-6-2023</v>
      </c>
    </row>
    <row r="2122" spans="1:16" x14ac:dyDescent="0.4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  <c r="P2122" s="1" t="str">
        <f t="shared" si="36"/>
        <v>3-6-2023</v>
      </c>
    </row>
    <row r="2123" spans="1:16" x14ac:dyDescent="0.4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  <c r="P2123" s="1" t="str">
        <f t="shared" si="36"/>
        <v>3-6-2023</v>
      </c>
    </row>
    <row r="2124" spans="1:16" x14ac:dyDescent="0.4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  <c r="P2124" s="1" t="str">
        <f t="shared" si="36"/>
        <v>3-6-2023</v>
      </c>
    </row>
    <row r="2125" spans="1:16" x14ac:dyDescent="0.4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  <c r="P2125" s="1" t="str">
        <f t="shared" si="36"/>
        <v>4-6-2023</v>
      </c>
    </row>
    <row r="2126" spans="1:16" x14ac:dyDescent="0.4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  <c r="P2126" s="1" t="str">
        <f t="shared" si="36"/>
        <v>4-6-2023</v>
      </c>
    </row>
    <row r="2127" spans="1:16" x14ac:dyDescent="0.4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  <c r="P2127" s="1" t="str">
        <f t="shared" si="36"/>
        <v>4-6-2023</v>
      </c>
    </row>
    <row r="2128" spans="1:16" x14ac:dyDescent="0.4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  <c r="P2128" s="1" t="str">
        <f t="shared" si="36"/>
        <v>4-6-2023</v>
      </c>
    </row>
    <row r="2129" spans="1:16" x14ac:dyDescent="0.4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  <c r="P2129" s="1" t="str">
        <f t="shared" si="36"/>
        <v>5-6-2023</v>
      </c>
    </row>
    <row r="2130" spans="1:16" x14ac:dyDescent="0.4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  <c r="P2130" s="1" t="str">
        <f t="shared" si="36"/>
        <v>5-6-2023</v>
      </c>
    </row>
    <row r="2131" spans="1:16" x14ac:dyDescent="0.4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  <c r="P2131" s="1" t="str">
        <f t="shared" si="36"/>
        <v>5-6-2023</v>
      </c>
    </row>
    <row r="2132" spans="1:16" x14ac:dyDescent="0.4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  <c r="P2132" s="1" t="str">
        <f t="shared" si="36"/>
        <v>6-6-2023</v>
      </c>
    </row>
    <row r="2133" spans="1:16" x14ac:dyDescent="0.4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  <c r="P2133" s="1" t="str">
        <f t="shared" si="36"/>
        <v>6-6-2023</v>
      </c>
    </row>
    <row r="2134" spans="1:16" x14ac:dyDescent="0.4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  <c r="P2134" s="1" t="str">
        <f t="shared" si="36"/>
        <v>6-6-2023</v>
      </c>
    </row>
    <row r="2135" spans="1:16" x14ac:dyDescent="0.4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  <c r="P2135" s="1" t="str">
        <f t="shared" si="36"/>
        <v>7-6-2023</v>
      </c>
    </row>
    <row r="2136" spans="1:16" x14ac:dyDescent="0.4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  <c r="P2136" s="1" t="str">
        <f t="shared" si="36"/>
        <v>7-6-2023</v>
      </c>
    </row>
    <row r="2137" spans="1:16" x14ac:dyDescent="0.4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  <c r="P2137" s="1" t="str">
        <f t="shared" si="36"/>
        <v>7-6-2023</v>
      </c>
    </row>
    <row r="2138" spans="1:16" x14ac:dyDescent="0.4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  <c r="P2138" s="1" t="str">
        <f t="shared" si="36"/>
        <v>8-6-2023</v>
      </c>
    </row>
    <row r="2139" spans="1:16" x14ac:dyDescent="0.4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  <c r="P2139" s="1" t="str">
        <f t="shared" si="36"/>
        <v>8-6-2023</v>
      </c>
    </row>
    <row r="2140" spans="1:16" x14ac:dyDescent="0.4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  <c r="P2140" s="1" t="str">
        <f t="shared" si="36"/>
        <v>8-6-2023</v>
      </c>
    </row>
    <row r="2141" spans="1:16" x14ac:dyDescent="0.4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  <c r="P2141" s="1" t="str">
        <f t="shared" si="36"/>
        <v>8-6-2023</v>
      </c>
    </row>
    <row r="2142" spans="1:16" x14ac:dyDescent="0.4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  <c r="P2142" s="1" t="str">
        <f t="shared" si="36"/>
        <v>9-6-2023</v>
      </c>
    </row>
    <row r="2143" spans="1:16" x14ac:dyDescent="0.4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  <c r="P2143" s="1" t="str">
        <f t="shared" si="36"/>
        <v>9-6-2023</v>
      </c>
    </row>
    <row r="2144" spans="1:16" x14ac:dyDescent="0.4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  <c r="P2144" s="1" t="str">
        <f t="shared" si="36"/>
        <v>9-6-2023</v>
      </c>
    </row>
    <row r="2145" spans="1:16" x14ac:dyDescent="0.4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  <c r="P2145" s="1" t="str">
        <f t="shared" si="36"/>
        <v>9-6-2023</v>
      </c>
    </row>
    <row r="2146" spans="1:16" x14ac:dyDescent="0.4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  <c r="P2146" s="1" t="str">
        <f t="shared" si="36"/>
        <v>10-6-2023</v>
      </c>
    </row>
    <row r="2147" spans="1:16" x14ac:dyDescent="0.4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  <c r="P2147" s="1" t="str">
        <f t="shared" si="36"/>
        <v>10-6-2023</v>
      </c>
    </row>
    <row r="2148" spans="1:16" x14ac:dyDescent="0.4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  <c r="P2148" s="1" t="str">
        <f t="shared" si="36"/>
        <v>10-6-2023</v>
      </c>
    </row>
    <row r="2149" spans="1:16" x14ac:dyDescent="0.4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  <c r="P2149" s="1" t="str">
        <f t="shared" si="36"/>
        <v>10-6-2023</v>
      </c>
    </row>
    <row r="2150" spans="1:16" x14ac:dyDescent="0.4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  <c r="P2150" s="1" t="str">
        <f t="shared" si="36"/>
        <v>11-6-2023</v>
      </c>
    </row>
    <row r="2151" spans="1:16" x14ac:dyDescent="0.4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  <c r="P2151" s="1" t="str">
        <f t="shared" si="36"/>
        <v>11-6-2023</v>
      </c>
    </row>
    <row r="2152" spans="1:16" x14ac:dyDescent="0.4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  <c r="P2152" s="1" t="str">
        <f t="shared" si="36"/>
        <v>11-6-2023</v>
      </c>
    </row>
    <row r="2153" spans="1:16" x14ac:dyDescent="0.4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  <c r="P2153" s="1" t="str">
        <f t="shared" si="36"/>
        <v>12-6-2023</v>
      </c>
    </row>
    <row r="2154" spans="1:16" x14ac:dyDescent="0.4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  <c r="P2154" s="1" t="str">
        <f t="shared" si="36"/>
        <v>12-6-2023</v>
      </c>
    </row>
    <row r="2155" spans="1:16" x14ac:dyDescent="0.4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  <c r="P2155" s="1" t="str">
        <f t="shared" si="36"/>
        <v>12-6-2023</v>
      </c>
    </row>
    <row r="2156" spans="1:16" x14ac:dyDescent="0.4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  <c r="P2156" s="1" t="str">
        <f t="shared" si="36"/>
        <v>12-6-2023</v>
      </c>
    </row>
    <row r="2157" spans="1:16" x14ac:dyDescent="0.4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  <c r="P2157" s="1" t="str">
        <f t="shared" si="36"/>
        <v>13-6-2023</v>
      </c>
    </row>
    <row r="2158" spans="1:16" x14ac:dyDescent="0.4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  <c r="P2158" s="1" t="str">
        <f t="shared" si="36"/>
        <v>13-6-2023</v>
      </c>
    </row>
    <row r="2159" spans="1:16" x14ac:dyDescent="0.4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  <c r="P2159" s="1" t="str">
        <f t="shared" si="36"/>
        <v>13-6-2023</v>
      </c>
    </row>
    <row r="2160" spans="1:16" x14ac:dyDescent="0.4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  <c r="P2160" s="1" t="str">
        <f t="shared" si="36"/>
        <v>13-6-2023</v>
      </c>
    </row>
    <row r="2161" spans="1:16" x14ac:dyDescent="0.4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  <c r="P2161" s="1" t="str">
        <f t="shared" si="36"/>
        <v>14-6-2023</v>
      </c>
    </row>
    <row r="2162" spans="1:16" x14ac:dyDescent="0.4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  <c r="P2162" s="1" t="str">
        <f t="shared" si="36"/>
        <v>14-6-2023</v>
      </c>
    </row>
    <row r="2163" spans="1:16" x14ac:dyDescent="0.4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  <c r="P2163" s="1" t="str">
        <f t="shared" si="36"/>
        <v>14-6-2023</v>
      </c>
    </row>
    <row r="2164" spans="1:16" x14ac:dyDescent="0.4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  <c r="P2164" s="1" t="str">
        <f t="shared" si="36"/>
        <v>14-6-2023</v>
      </c>
    </row>
    <row r="2165" spans="1:16" x14ac:dyDescent="0.4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  <c r="P2165" s="1" t="str">
        <f t="shared" si="36"/>
        <v>15-6-2023</v>
      </c>
    </row>
    <row r="2166" spans="1:16" x14ac:dyDescent="0.4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  <c r="P2166" s="1" t="str">
        <f t="shared" si="36"/>
        <v>15-6-2023</v>
      </c>
    </row>
    <row r="2167" spans="1:16" x14ac:dyDescent="0.4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  <c r="P2167" s="1" t="str">
        <f t="shared" si="36"/>
        <v>15-6-2023</v>
      </c>
    </row>
    <row r="2168" spans="1:16" x14ac:dyDescent="0.4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  <c r="P2168" s="1" t="str">
        <f t="shared" si="36"/>
        <v>15-6-2023</v>
      </c>
    </row>
    <row r="2169" spans="1:16" x14ac:dyDescent="0.4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  <c r="P2169" s="1" t="str">
        <f t="shared" si="36"/>
        <v>16-6-2023</v>
      </c>
    </row>
    <row r="2170" spans="1:16" x14ac:dyDescent="0.4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  <c r="P2170" s="1" t="str">
        <f t="shared" si="36"/>
        <v>16-6-2023</v>
      </c>
    </row>
    <row r="2171" spans="1:16" x14ac:dyDescent="0.4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  <c r="P2171" s="1" t="str">
        <f t="shared" si="36"/>
        <v>16-6-2023</v>
      </c>
    </row>
    <row r="2172" spans="1:16" x14ac:dyDescent="0.4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  <c r="P2172" s="1" t="str">
        <f t="shared" si="36"/>
        <v>17-6-2023</v>
      </c>
    </row>
    <row r="2173" spans="1:16" x14ac:dyDescent="0.4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  <c r="P2173" s="1" t="str">
        <f t="shared" si="36"/>
        <v>17-6-2023</v>
      </c>
    </row>
    <row r="2174" spans="1:16" x14ac:dyDescent="0.4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  <c r="P2174" s="1" t="str">
        <f t="shared" si="36"/>
        <v>17-6-2023</v>
      </c>
    </row>
    <row r="2175" spans="1:16" x14ac:dyDescent="0.4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  <c r="P2175" s="1" t="str">
        <f t="shared" si="36"/>
        <v>18-6-2023</v>
      </c>
    </row>
    <row r="2176" spans="1:16" x14ac:dyDescent="0.4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  <c r="P2176" s="1" t="str">
        <f t="shared" si="36"/>
        <v>18-6-2023</v>
      </c>
    </row>
    <row r="2177" spans="1:16" x14ac:dyDescent="0.4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  <c r="P2177" s="1" t="str">
        <f t="shared" si="36"/>
        <v>18-6-2023</v>
      </c>
    </row>
    <row r="2178" spans="1:16" x14ac:dyDescent="0.4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  <c r="P2178" s="1" t="str">
        <f t="shared" si="36"/>
        <v>18-6-2023</v>
      </c>
    </row>
    <row r="2179" spans="1:16" x14ac:dyDescent="0.4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  <c r="P2179" s="1" t="str">
        <f t="shared" ref="P2179:P2242" si="37">B2179&amp;"-"&amp;C2179&amp;"-"&amp;D2179</f>
        <v>19-6-2023</v>
      </c>
    </row>
    <row r="2180" spans="1:16" x14ac:dyDescent="0.4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  <c r="P2180" s="1" t="str">
        <f t="shared" si="37"/>
        <v>19-6-2023</v>
      </c>
    </row>
    <row r="2181" spans="1:16" x14ac:dyDescent="0.4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  <c r="P2181" s="1" t="str">
        <f t="shared" si="37"/>
        <v>19-6-2023</v>
      </c>
    </row>
    <row r="2182" spans="1:16" x14ac:dyDescent="0.4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  <c r="P2182" s="1" t="str">
        <f t="shared" si="37"/>
        <v>20-6-2023</v>
      </c>
    </row>
    <row r="2183" spans="1:16" x14ac:dyDescent="0.4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  <c r="P2183" s="1" t="str">
        <f t="shared" si="37"/>
        <v>20-6-2023</v>
      </c>
    </row>
    <row r="2184" spans="1:16" x14ac:dyDescent="0.4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  <c r="P2184" s="1" t="str">
        <f t="shared" si="37"/>
        <v>20-6-2023</v>
      </c>
    </row>
    <row r="2185" spans="1:16" x14ac:dyDescent="0.4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  <c r="P2185" s="1" t="str">
        <f t="shared" si="37"/>
        <v>21-6-2023</v>
      </c>
    </row>
    <row r="2186" spans="1:16" x14ac:dyDescent="0.4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  <c r="P2186" s="1" t="str">
        <f t="shared" si="37"/>
        <v>21-6-2023</v>
      </c>
    </row>
    <row r="2187" spans="1:16" x14ac:dyDescent="0.4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  <c r="P2187" s="1" t="str">
        <f t="shared" si="37"/>
        <v>21-6-2023</v>
      </c>
    </row>
    <row r="2188" spans="1:16" x14ac:dyDescent="0.4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  <c r="P2188" s="1" t="str">
        <f t="shared" si="37"/>
        <v>21-6-2023</v>
      </c>
    </row>
    <row r="2189" spans="1:16" x14ac:dyDescent="0.4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  <c r="P2189" s="1" t="str">
        <f t="shared" si="37"/>
        <v>22-6-2023</v>
      </c>
    </row>
    <row r="2190" spans="1:16" x14ac:dyDescent="0.4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  <c r="P2190" s="1" t="str">
        <f t="shared" si="37"/>
        <v>22-6-2023</v>
      </c>
    </row>
    <row r="2191" spans="1:16" x14ac:dyDescent="0.4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  <c r="P2191" s="1" t="str">
        <f t="shared" si="37"/>
        <v>22-6-2023</v>
      </c>
    </row>
    <row r="2192" spans="1:16" x14ac:dyDescent="0.4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  <c r="P2192" s="1" t="str">
        <f t="shared" si="37"/>
        <v>22-6-2023</v>
      </c>
    </row>
    <row r="2193" spans="1:16" x14ac:dyDescent="0.4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  <c r="P2193" s="1" t="str">
        <f t="shared" si="37"/>
        <v>23-6-2023</v>
      </c>
    </row>
    <row r="2194" spans="1:16" x14ac:dyDescent="0.4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  <c r="P2194" s="1" t="str">
        <f t="shared" si="37"/>
        <v>23-6-2023</v>
      </c>
    </row>
    <row r="2195" spans="1:16" x14ac:dyDescent="0.4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  <c r="P2195" s="1" t="str">
        <f t="shared" si="37"/>
        <v>23-6-2023</v>
      </c>
    </row>
    <row r="2196" spans="1:16" x14ac:dyDescent="0.4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  <c r="P2196" s="1" t="str">
        <f t="shared" si="37"/>
        <v>24-6-2023</v>
      </c>
    </row>
    <row r="2197" spans="1:16" x14ac:dyDescent="0.4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  <c r="P2197" s="1" t="str">
        <f t="shared" si="37"/>
        <v>24-6-2023</v>
      </c>
    </row>
    <row r="2198" spans="1:16" x14ac:dyDescent="0.4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  <c r="P2198" s="1" t="str">
        <f t="shared" si="37"/>
        <v>24-6-2023</v>
      </c>
    </row>
    <row r="2199" spans="1:16" x14ac:dyDescent="0.4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  <c r="P2199" s="1" t="str">
        <f t="shared" si="37"/>
        <v>24-6-2023</v>
      </c>
    </row>
    <row r="2200" spans="1:16" x14ac:dyDescent="0.4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  <c r="P2200" s="1" t="str">
        <f t="shared" si="37"/>
        <v>25-6-2023</v>
      </c>
    </row>
    <row r="2201" spans="1:16" x14ac:dyDescent="0.4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  <c r="P2201" s="1" t="str">
        <f t="shared" si="37"/>
        <v>25-6-2023</v>
      </c>
    </row>
    <row r="2202" spans="1:16" x14ac:dyDescent="0.4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  <c r="P2202" s="1" t="str">
        <f t="shared" si="37"/>
        <v>25-6-2023</v>
      </c>
    </row>
    <row r="2203" spans="1:16" x14ac:dyDescent="0.4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  <c r="P2203" s="1" t="str">
        <f t="shared" si="37"/>
        <v>26-6-2023</v>
      </c>
    </row>
    <row r="2204" spans="1:16" x14ac:dyDescent="0.4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  <c r="P2204" s="1" t="str">
        <f t="shared" si="37"/>
        <v>26-6-2023</v>
      </c>
    </row>
    <row r="2205" spans="1:16" x14ac:dyDescent="0.4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  <c r="P2205" s="1" t="str">
        <f t="shared" si="37"/>
        <v>26-6-2023</v>
      </c>
    </row>
    <row r="2206" spans="1:16" x14ac:dyDescent="0.4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  <c r="P2206" s="1" t="str">
        <f t="shared" si="37"/>
        <v>26-6-2023</v>
      </c>
    </row>
    <row r="2207" spans="1:16" x14ac:dyDescent="0.4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  <c r="P2207" s="1" t="str">
        <f t="shared" si="37"/>
        <v>27-6-2023</v>
      </c>
    </row>
    <row r="2208" spans="1:16" x14ac:dyDescent="0.4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  <c r="P2208" s="1" t="str">
        <f t="shared" si="37"/>
        <v>27-6-2023</v>
      </c>
    </row>
    <row r="2209" spans="1:16" x14ac:dyDescent="0.4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  <c r="P2209" s="1" t="str">
        <f t="shared" si="37"/>
        <v>27-6-2023</v>
      </c>
    </row>
    <row r="2210" spans="1:16" x14ac:dyDescent="0.4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  <c r="P2210" s="1" t="str">
        <f t="shared" si="37"/>
        <v>28-6-2023</v>
      </c>
    </row>
    <row r="2211" spans="1:16" x14ac:dyDescent="0.4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  <c r="P2211" s="1" t="str">
        <f t="shared" si="37"/>
        <v>28-6-2023</v>
      </c>
    </row>
    <row r="2212" spans="1:16" x14ac:dyDescent="0.4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  <c r="P2212" s="1" t="str">
        <f t="shared" si="37"/>
        <v>28-6-2023</v>
      </c>
    </row>
    <row r="2213" spans="1:16" x14ac:dyDescent="0.4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  <c r="P2213" s="1" t="str">
        <f t="shared" si="37"/>
        <v>28-6-2023</v>
      </c>
    </row>
    <row r="2214" spans="1:16" x14ac:dyDescent="0.4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  <c r="P2214" s="1" t="str">
        <f t="shared" si="37"/>
        <v>29-6-2023</v>
      </c>
    </row>
    <row r="2215" spans="1:16" x14ac:dyDescent="0.4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  <c r="P2215" s="1" t="str">
        <f t="shared" si="37"/>
        <v>29-6-2023</v>
      </c>
    </row>
    <row r="2216" spans="1:16" x14ac:dyDescent="0.4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  <c r="P2216" s="1" t="str">
        <f t="shared" si="37"/>
        <v>29-6-2023</v>
      </c>
    </row>
    <row r="2217" spans="1:16" x14ac:dyDescent="0.4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  <c r="P2217" s="1" t="str">
        <f t="shared" si="37"/>
        <v>30-6-2023</v>
      </c>
    </row>
    <row r="2218" spans="1:16" x14ac:dyDescent="0.4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  <c r="P2218" s="1" t="str">
        <f t="shared" si="37"/>
        <v>30-6-2023</v>
      </c>
    </row>
    <row r="2219" spans="1:16" x14ac:dyDescent="0.4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  <c r="P2219" s="1" t="str">
        <f t="shared" si="37"/>
        <v>30-6-2023</v>
      </c>
    </row>
    <row r="2220" spans="1:16" x14ac:dyDescent="0.4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  <c r="P2220" s="1" t="str">
        <f t="shared" si="37"/>
        <v>1-7-2023</v>
      </c>
    </row>
    <row r="2221" spans="1:16" x14ac:dyDescent="0.4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  <c r="P2221" s="1" t="str">
        <f t="shared" si="37"/>
        <v>1-7-2023</v>
      </c>
    </row>
    <row r="2222" spans="1:16" x14ac:dyDescent="0.4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  <c r="P2222" s="1" t="str">
        <f t="shared" si="37"/>
        <v>1-7-2023</v>
      </c>
    </row>
    <row r="2223" spans="1:16" x14ac:dyDescent="0.4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  <c r="P2223" s="1" t="str">
        <f t="shared" si="37"/>
        <v>2-7-2023</v>
      </c>
    </row>
    <row r="2224" spans="1:16" x14ac:dyDescent="0.4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  <c r="P2224" s="1" t="str">
        <f t="shared" si="37"/>
        <v>2-7-2023</v>
      </c>
    </row>
    <row r="2225" spans="1:16" x14ac:dyDescent="0.4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  <c r="P2225" s="1" t="str">
        <f t="shared" si="37"/>
        <v>2-7-2023</v>
      </c>
    </row>
    <row r="2226" spans="1:16" x14ac:dyDescent="0.4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  <c r="P2226" s="1" t="str">
        <f t="shared" si="37"/>
        <v>2-7-2023</v>
      </c>
    </row>
    <row r="2227" spans="1:16" x14ac:dyDescent="0.4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  <c r="P2227" s="1" t="str">
        <f t="shared" si="37"/>
        <v>3-7-2023</v>
      </c>
    </row>
    <row r="2228" spans="1:16" x14ac:dyDescent="0.4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  <c r="P2228" s="1" t="str">
        <f t="shared" si="37"/>
        <v>3-7-2023</v>
      </c>
    </row>
    <row r="2229" spans="1:16" x14ac:dyDescent="0.4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  <c r="P2229" s="1" t="str">
        <f t="shared" si="37"/>
        <v>3-7-2023</v>
      </c>
    </row>
    <row r="2230" spans="1:16" x14ac:dyDescent="0.4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  <c r="P2230" s="1" t="str">
        <f t="shared" si="37"/>
        <v>4-7-2023</v>
      </c>
    </row>
    <row r="2231" spans="1:16" x14ac:dyDescent="0.4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  <c r="P2231" s="1" t="str">
        <f t="shared" si="37"/>
        <v>4-7-2023</v>
      </c>
    </row>
    <row r="2232" spans="1:16" x14ac:dyDescent="0.4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  <c r="P2232" s="1" t="str">
        <f t="shared" si="37"/>
        <v>4-7-2023</v>
      </c>
    </row>
    <row r="2233" spans="1:16" x14ac:dyDescent="0.4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  <c r="P2233" s="1" t="str">
        <f t="shared" si="37"/>
        <v>5-7-2023</v>
      </c>
    </row>
    <row r="2234" spans="1:16" x14ac:dyDescent="0.4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  <c r="P2234" s="1" t="str">
        <f t="shared" si="37"/>
        <v>5-7-2023</v>
      </c>
    </row>
    <row r="2235" spans="1:16" x14ac:dyDescent="0.4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  <c r="P2235" s="1" t="str">
        <f t="shared" si="37"/>
        <v>5-7-2023</v>
      </c>
    </row>
    <row r="2236" spans="1:16" x14ac:dyDescent="0.4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  <c r="P2236" s="1" t="str">
        <f t="shared" si="37"/>
        <v>5-7-2023</v>
      </c>
    </row>
    <row r="2237" spans="1:16" x14ac:dyDescent="0.4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  <c r="P2237" s="1" t="str">
        <f t="shared" si="37"/>
        <v>6-7-2023</v>
      </c>
    </row>
    <row r="2238" spans="1:16" x14ac:dyDescent="0.4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  <c r="P2238" s="1" t="str">
        <f t="shared" si="37"/>
        <v>6-7-2023</v>
      </c>
    </row>
    <row r="2239" spans="1:16" x14ac:dyDescent="0.4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  <c r="P2239" s="1" t="str">
        <f t="shared" si="37"/>
        <v>6-7-2023</v>
      </c>
    </row>
    <row r="2240" spans="1:16" x14ac:dyDescent="0.4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  <c r="P2240" s="1" t="str">
        <f t="shared" si="37"/>
        <v>6-7-2023</v>
      </c>
    </row>
    <row r="2241" spans="1:16" x14ac:dyDescent="0.4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  <c r="P2241" s="1" t="str">
        <f t="shared" si="37"/>
        <v>7-7-2023</v>
      </c>
    </row>
    <row r="2242" spans="1:16" x14ac:dyDescent="0.4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  <c r="P2242" s="1" t="str">
        <f t="shared" si="37"/>
        <v>7-7-2023</v>
      </c>
    </row>
    <row r="2243" spans="1:16" x14ac:dyDescent="0.4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  <c r="P2243" s="1" t="str">
        <f t="shared" ref="P2243:P2306" si="38">B2243&amp;"-"&amp;C2243&amp;"-"&amp;D2243</f>
        <v>7-7-2023</v>
      </c>
    </row>
    <row r="2244" spans="1:16" x14ac:dyDescent="0.4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  <c r="P2244" s="1" t="str">
        <f t="shared" si="38"/>
        <v>8-7-2023</v>
      </c>
    </row>
    <row r="2245" spans="1:16" x14ac:dyDescent="0.4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  <c r="P2245" s="1" t="str">
        <f t="shared" si="38"/>
        <v>8-7-2023</v>
      </c>
    </row>
    <row r="2246" spans="1:16" x14ac:dyDescent="0.4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  <c r="P2246" s="1" t="str">
        <f t="shared" si="38"/>
        <v>8-7-2023</v>
      </c>
    </row>
    <row r="2247" spans="1:16" x14ac:dyDescent="0.4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  <c r="P2247" s="1" t="str">
        <f t="shared" si="38"/>
        <v>9-7-2023</v>
      </c>
    </row>
    <row r="2248" spans="1:16" x14ac:dyDescent="0.4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  <c r="P2248" s="1" t="str">
        <f t="shared" si="38"/>
        <v>9-7-2023</v>
      </c>
    </row>
    <row r="2249" spans="1:16" x14ac:dyDescent="0.4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  <c r="P2249" s="1" t="str">
        <f t="shared" si="38"/>
        <v>9-7-2023</v>
      </c>
    </row>
    <row r="2250" spans="1:16" x14ac:dyDescent="0.4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  <c r="P2250" s="1" t="str">
        <f t="shared" si="38"/>
        <v>9-7-2023</v>
      </c>
    </row>
    <row r="2251" spans="1:16" x14ac:dyDescent="0.4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  <c r="P2251" s="1" t="str">
        <f t="shared" si="38"/>
        <v>10-7-2023</v>
      </c>
    </row>
    <row r="2252" spans="1:16" x14ac:dyDescent="0.4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  <c r="P2252" s="1" t="str">
        <f t="shared" si="38"/>
        <v>10-7-2023</v>
      </c>
    </row>
    <row r="2253" spans="1:16" x14ac:dyDescent="0.4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  <c r="P2253" s="1" t="str">
        <f t="shared" si="38"/>
        <v>10-7-2023</v>
      </c>
    </row>
    <row r="2254" spans="1:16" x14ac:dyDescent="0.4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  <c r="P2254" s="1" t="str">
        <f t="shared" si="38"/>
        <v>10-7-2023</v>
      </c>
    </row>
    <row r="2255" spans="1:16" x14ac:dyDescent="0.4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  <c r="P2255" s="1" t="str">
        <f t="shared" si="38"/>
        <v>11-7-2023</v>
      </c>
    </row>
    <row r="2256" spans="1:16" x14ac:dyDescent="0.4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  <c r="P2256" s="1" t="str">
        <f t="shared" si="38"/>
        <v>11-7-2023</v>
      </c>
    </row>
    <row r="2257" spans="1:16" x14ac:dyDescent="0.4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  <c r="P2257" s="1" t="str">
        <f t="shared" si="38"/>
        <v>11-7-2023</v>
      </c>
    </row>
    <row r="2258" spans="1:16" x14ac:dyDescent="0.4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  <c r="P2258" s="1" t="str">
        <f t="shared" si="38"/>
        <v>11-7-2023</v>
      </c>
    </row>
    <row r="2259" spans="1:16" x14ac:dyDescent="0.4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  <c r="P2259" s="1" t="str">
        <f t="shared" si="38"/>
        <v>12-7-2023</v>
      </c>
    </row>
    <row r="2260" spans="1:16" x14ac:dyDescent="0.4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  <c r="P2260" s="1" t="str">
        <f t="shared" si="38"/>
        <v>12-7-2023</v>
      </c>
    </row>
    <row r="2261" spans="1:16" x14ac:dyDescent="0.4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  <c r="P2261" s="1" t="str">
        <f t="shared" si="38"/>
        <v>12-7-2023</v>
      </c>
    </row>
    <row r="2262" spans="1:16" x14ac:dyDescent="0.4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  <c r="P2262" s="1" t="str">
        <f t="shared" si="38"/>
        <v>12-7-2023</v>
      </c>
    </row>
    <row r="2263" spans="1:16" x14ac:dyDescent="0.4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  <c r="P2263" s="1" t="str">
        <f t="shared" si="38"/>
        <v>13-7-2023</v>
      </c>
    </row>
    <row r="2264" spans="1:16" x14ac:dyDescent="0.4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  <c r="P2264" s="1" t="str">
        <f t="shared" si="38"/>
        <v>13-7-2023</v>
      </c>
    </row>
    <row r="2265" spans="1:16" x14ac:dyDescent="0.4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  <c r="P2265" s="1" t="str">
        <f t="shared" si="38"/>
        <v>13-7-2023</v>
      </c>
    </row>
    <row r="2266" spans="1:16" x14ac:dyDescent="0.4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  <c r="P2266" s="1" t="str">
        <f t="shared" si="38"/>
        <v>13-7-2023</v>
      </c>
    </row>
    <row r="2267" spans="1:16" x14ac:dyDescent="0.4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  <c r="P2267" s="1" t="str">
        <f t="shared" si="38"/>
        <v>14-7-2023</v>
      </c>
    </row>
    <row r="2268" spans="1:16" x14ac:dyDescent="0.4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  <c r="P2268" s="1" t="str">
        <f t="shared" si="38"/>
        <v>14-7-2023</v>
      </c>
    </row>
    <row r="2269" spans="1:16" x14ac:dyDescent="0.4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  <c r="P2269" s="1" t="str">
        <f t="shared" si="38"/>
        <v>14-7-2023</v>
      </c>
    </row>
    <row r="2270" spans="1:16" x14ac:dyDescent="0.4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  <c r="P2270" s="1" t="str">
        <f t="shared" si="38"/>
        <v>15-7-2023</v>
      </c>
    </row>
    <row r="2271" spans="1:16" x14ac:dyDescent="0.4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  <c r="P2271" s="1" t="str">
        <f t="shared" si="38"/>
        <v>15-7-2023</v>
      </c>
    </row>
    <row r="2272" spans="1:16" x14ac:dyDescent="0.4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  <c r="P2272" s="1" t="str">
        <f t="shared" si="38"/>
        <v>15-7-2023</v>
      </c>
    </row>
    <row r="2273" spans="1:16" x14ac:dyDescent="0.4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  <c r="P2273" s="1" t="str">
        <f t="shared" si="38"/>
        <v>15-7-2023</v>
      </c>
    </row>
    <row r="2274" spans="1:16" x14ac:dyDescent="0.4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  <c r="P2274" s="1" t="str">
        <f t="shared" si="38"/>
        <v>16-7-2023</v>
      </c>
    </row>
    <row r="2275" spans="1:16" x14ac:dyDescent="0.4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  <c r="P2275" s="1" t="str">
        <f t="shared" si="38"/>
        <v>16-7-2023</v>
      </c>
    </row>
    <row r="2276" spans="1:16" x14ac:dyDescent="0.4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  <c r="P2276" s="1" t="str">
        <f t="shared" si="38"/>
        <v>16-7-2023</v>
      </c>
    </row>
    <row r="2277" spans="1:16" x14ac:dyDescent="0.4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  <c r="P2277" s="1" t="str">
        <f t="shared" si="38"/>
        <v>17-7-2023</v>
      </c>
    </row>
    <row r="2278" spans="1:16" x14ac:dyDescent="0.4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  <c r="P2278" s="1" t="str">
        <f t="shared" si="38"/>
        <v>17-7-2023</v>
      </c>
    </row>
    <row r="2279" spans="1:16" x14ac:dyDescent="0.4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  <c r="P2279" s="1" t="str">
        <f t="shared" si="38"/>
        <v>17-7-2023</v>
      </c>
    </row>
    <row r="2280" spans="1:16" x14ac:dyDescent="0.4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  <c r="P2280" s="1" t="str">
        <f t="shared" si="38"/>
        <v>18-7-2023</v>
      </c>
    </row>
    <row r="2281" spans="1:16" x14ac:dyDescent="0.4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  <c r="P2281" s="1" t="str">
        <f t="shared" si="38"/>
        <v>18-7-2023</v>
      </c>
    </row>
    <row r="2282" spans="1:16" x14ac:dyDescent="0.4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  <c r="P2282" s="1" t="str">
        <f t="shared" si="38"/>
        <v>18-7-2023</v>
      </c>
    </row>
    <row r="2283" spans="1:16" x14ac:dyDescent="0.4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  <c r="P2283" s="1" t="str">
        <f t="shared" si="38"/>
        <v>19-7-2023</v>
      </c>
    </row>
    <row r="2284" spans="1:16" x14ac:dyDescent="0.4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  <c r="P2284" s="1" t="str">
        <f t="shared" si="38"/>
        <v>19-7-2023</v>
      </c>
    </row>
    <row r="2285" spans="1:16" x14ac:dyDescent="0.4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  <c r="P2285" s="1" t="str">
        <f t="shared" si="38"/>
        <v>19-7-2023</v>
      </c>
    </row>
    <row r="2286" spans="1:16" x14ac:dyDescent="0.4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  <c r="P2286" s="1" t="str">
        <f t="shared" si="38"/>
        <v>19-7-2023</v>
      </c>
    </row>
    <row r="2287" spans="1:16" x14ac:dyDescent="0.4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  <c r="P2287" s="1" t="str">
        <f t="shared" si="38"/>
        <v>20-7-2023</v>
      </c>
    </row>
    <row r="2288" spans="1:16" x14ac:dyDescent="0.4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  <c r="P2288" s="1" t="str">
        <f t="shared" si="38"/>
        <v>20-7-2023</v>
      </c>
    </row>
    <row r="2289" spans="1:16" x14ac:dyDescent="0.4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  <c r="P2289" s="1" t="str">
        <f t="shared" si="38"/>
        <v>20-7-2023</v>
      </c>
    </row>
    <row r="2290" spans="1:16" x14ac:dyDescent="0.4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  <c r="P2290" s="1" t="str">
        <f t="shared" si="38"/>
        <v>21-7-2023</v>
      </c>
    </row>
    <row r="2291" spans="1:16" x14ac:dyDescent="0.4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  <c r="P2291" s="1" t="str">
        <f t="shared" si="38"/>
        <v>21-7-2023</v>
      </c>
    </row>
    <row r="2292" spans="1:16" x14ac:dyDescent="0.4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  <c r="P2292" s="1" t="str">
        <f t="shared" si="38"/>
        <v>21-7-2023</v>
      </c>
    </row>
    <row r="2293" spans="1:16" x14ac:dyDescent="0.4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  <c r="P2293" s="1" t="str">
        <f t="shared" si="38"/>
        <v>22-7-2023</v>
      </c>
    </row>
    <row r="2294" spans="1:16" x14ac:dyDescent="0.4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  <c r="P2294" s="1" t="str">
        <f t="shared" si="38"/>
        <v>22-7-2023</v>
      </c>
    </row>
    <row r="2295" spans="1:16" x14ac:dyDescent="0.4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  <c r="P2295" s="1" t="str">
        <f t="shared" si="38"/>
        <v>22-7-2023</v>
      </c>
    </row>
    <row r="2296" spans="1:16" x14ac:dyDescent="0.4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  <c r="P2296" s="1" t="str">
        <f t="shared" si="38"/>
        <v>22-7-2023</v>
      </c>
    </row>
    <row r="2297" spans="1:16" x14ac:dyDescent="0.4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  <c r="P2297" s="1" t="str">
        <f t="shared" si="38"/>
        <v>23-7-2023</v>
      </c>
    </row>
    <row r="2298" spans="1:16" x14ac:dyDescent="0.4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  <c r="P2298" s="1" t="str">
        <f t="shared" si="38"/>
        <v>23-7-2023</v>
      </c>
    </row>
    <row r="2299" spans="1:16" x14ac:dyDescent="0.4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  <c r="P2299" s="1" t="str">
        <f t="shared" si="38"/>
        <v>23-7-2023</v>
      </c>
    </row>
    <row r="2300" spans="1:16" x14ac:dyDescent="0.4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  <c r="P2300" s="1" t="str">
        <f t="shared" si="38"/>
        <v>24-7-2023</v>
      </c>
    </row>
    <row r="2301" spans="1:16" x14ac:dyDescent="0.4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  <c r="P2301" s="1" t="str">
        <f t="shared" si="38"/>
        <v>24-7-2023</v>
      </c>
    </row>
    <row r="2302" spans="1:16" x14ac:dyDescent="0.4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  <c r="P2302" s="1" t="str">
        <f t="shared" si="38"/>
        <v>24-7-2023</v>
      </c>
    </row>
    <row r="2303" spans="1:16" x14ac:dyDescent="0.4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  <c r="P2303" s="1" t="str">
        <f t="shared" si="38"/>
        <v>25-7-2023</v>
      </c>
    </row>
    <row r="2304" spans="1:16" x14ac:dyDescent="0.4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  <c r="P2304" s="1" t="str">
        <f t="shared" si="38"/>
        <v>25-7-2023</v>
      </c>
    </row>
    <row r="2305" spans="1:16" x14ac:dyDescent="0.4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  <c r="P2305" s="1" t="str">
        <f t="shared" si="38"/>
        <v>25-7-2023</v>
      </c>
    </row>
    <row r="2306" spans="1:16" x14ac:dyDescent="0.4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  <c r="P2306" s="1" t="str">
        <f t="shared" si="38"/>
        <v>25-7-2023</v>
      </c>
    </row>
    <row r="2307" spans="1:16" x14ac:dyDescent="0.4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  <c r="P2307" s="1" t="str">
        <f t="shared" ref="P2307:P2370" si="39">B2307&amp;"-"&amp;C2307&amp;"-"&amp;D2307</f>
        <v>26-7-2023</v>
      </c>
    </row>
    <row r="2308" spans="1:16" x14ac:dyDescent="0.4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  <c r="P2308" s="1" t="str">
        <f t="shared" si="39"/>
        <v>26-7-2023</v>
      </c>
    </row>
    <row r="2309" spans="1:16" x14ac:dyDescent="0.4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  <c r="P2309" s="1" t="str">
        <f t="shared" si="39"/>
        <v>26-7-2023</v>
      </c>
    </row>
    <row r="2310" spans="1:16" x14ac:dyDescent="0.4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  <c r="P2310" s="1" t="str">
        <f t="shared" si="39"/>
        <v>27-7-2023</v>
      </c>
    </row>
    <row r="2311" spans="1:16" x14ac:dyDescent="0.4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  <c r="P2311" s="1" t="str">
        <f t="shared" si="39"/>
        <v>27-7-2023</v>
      </c>
    </row>
    <row r="2312" spans="1:16" x14ac:dyDescent="0.4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  <c r="P2312" s="1" t="str">
        <f t="shared" si="39"/>
        <v>27-7-2023</v>
      </c>
    </row>
    <row r="2313" spans="1:16" x14ac:dyDescent="0.4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  <c r="P2313" s="1" t="str">
        <f t="shared" si="39"/>
        <v>28-7-2023</v>
      </c>
    </row>
    <row r="2314" spans="1:16" x14ac:dyDescent="0.4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  <c r="P2314" s="1" t="str">
        <f t="shared" si="39"/>
        <v>28-7-2023</v>
      </c>
    </row>
    <row r="2315" spans="1:16" x14ac:dyDescent="0.4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  <c r="P2315" s="1" t="str">
        <f t="shared" si="39"/>
        <v>28-7-2023</v>
      </c>
    </row>
    <row r="2316" spans="1:16" x14ac:dyDescent="0.4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  <c r="P2316" s="1" t="str">
        <f t="shared" si="39"/>
        <v>29-7-2023</v>
      </c>
    </row>
    <row r="2317" spans="1:16" x14ac:dyDescent="0.4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  <c r="P2317" s="1" t="str">
        <f t="shared" si="39"/>
        <v>29-7-2023</v>
      </c>
    </row>
    <row r="2318" spans="1:16" x14ac:dyDescent="0.4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  <c r="P2318" s="1" t="str">
        <f t="shared" si="39"/>
        <v>29-7-2023</v>
      </c>
    </row>
    <row r="2319" spans="1:16" x14ac:dyDescent="0.4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  <c r="P2319" s="1" t="str">
        <f t="shared" si="39"/>
        <v>29-7-2023</v>
      </c>
    </row>
    <row r="2320" spans="1:16" x14ac:dyDescent="0.4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  <c r="P2320" s="1" t="str">
        <f t="shared" si="39"/>
        <v>30-7-2023</v>
      </c>
    </row>
    <row r="2321" spans="1:16" x14ac:dyDescent="0.4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  <c r="P2321" s="1" t="str">
        <f t="shared" si="39"/>
        <v>30-7-2023</v>
      </c>
    </row>
    <row r="2322" spans="1:16" x14ac:dyDescent="0.4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  <c r="P2322" s="1" t="str">
        <f t="shared" si="39"/>
        <v>30-7-2023</v>
      </c>
    </row>
    <row r="2323" spans="1:16" x14ac:dyDescent="0.4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  <c r="P2323" s="1" t="str">
        <f t="shared" si="39"/>
        <v>30-7-2023</v>
      </c>
    </row>
    <row r="2324" spans="1:16" x14ac:dyDescent="0.4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  <c r="P2324" s="1" t="str">
        <f t="shared" si="39"/>
        <v>31-7-2023</v>
      </c>
    </row>
    <row r="2325" spans="1:16" x14ac:dyDescent="0.4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  <c r="P2325" s="1" t="str">
        <f t="shared" si="39"/>
        <v>31-7-2023</v>
      </c>
    </row>
    <row r="2326" spans="1:16" x14ac:dyDescent="0.4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  <c r="P2326" s="1" t="str">
        <f t="shared" si="39"/>
        <v>31-7-2023</v>
      </c>
    </row>
    <row r="2327" spans="1:16" x14ac:dyDescent="0.4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  <c r="P2327" s="1" t="str">
        <f t="shared" si="39"/>
        <v>31-7-2023</v>
      </c>
    </row>
    <row r="2328" spans="1:16" x14ac:dyDescent="0.4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  <c r="P2328" s="1" t="str">
        <f t="shared" si="39"/>
        <v>1-8-2023</v>
      </c>
    </row>
    <row r="2329" spans="1:16" x14ac:dyDescent="0.4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  <c r="P2329" s="1" t="str">
        <f t="shared" si="39"/>
        <v>1-8-2023</v>
      </c>
    </row>
    <row r="2330" spans="1:16" x14ac:dyDescent="0.4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  <c r="P2330" s="1" t="str">
        <f t="shared" si="39"/>
        <v>1-8-2023</v>
      </c>
    </row>
    <row r="2331" spans="1:16" x14ac:dyDescent="0.4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  <c r="P2331" s="1" t="str">
        <f t="shared" si="39"/>
        <v>2-8-2023</v>
      </c>
    </row>
    <row r="2332" spans="1:16" x14ac:dyDescent="0.4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  <c r="P2332" s="1" t="str">
        <f t="shared" si="39"/>
        <v>2-8-2023</v>
      </c>
    </row>
    <row r="2333" spans="1:16" x14ac:dyDescent="0.4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  <c r="P2333" s="1" t="str">
        <f t="shared" si="39"/>
        <v>2-8-2023</v>
      </c>
    </row>
    <row r="2334" spans="1:16" x14ac:dyDescent="0.4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  <c r="P2334" s="1" t="str">
        <f t="shared" si="39"/>
        <v>3-8-2023</v>
      </c>
    </row>
    <row r="2335" spans="1:16" x14ac:dyDescent="0.4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  <c r="P2335" s="1" t="str">
        <f t="shared" si="39"/>
        <v>3-8-2023</v>
      </c>
    </row>
    <row r="2336" spans="1:16" x14ac:dyDescent="0.4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  <c r="P2336" s="1" t="str">
        <f t="shared" si="39"/>
        <v>3-8-2023</v>
      </c>
    </row>
    <row r="2337" spans="1:16" x14ac:dyDescent="0.4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  <c r="P2337" s="1" t="str">
        <f t="shared" si="39"/>
        <v>3-8-2023</v>
      </c>
    </row>
    <row r="2338" spans="1:16" x14ac:dyDescent="0.4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  <c r="P2338" s="1" t="str">
        <f t="shared" si="39"/>
        <v>4-8-2023</v>
      </c>
    </row>
    <row r="2339" spans="1:16" x14ac:dyDescent="0.4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  <c r="P2339" s="1" t="str">
        <f t="shared" si="39"/>
        <v>4-8-2023</v>
      </c>
    </row>
    <row r="2340" spans="1:16" x14ac:dyDescent="0.4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  <c r="P2340" s="1" t="str">
        <f t="shared" si="39"/>
        <v>4-8-2023</v>
      </c>
    </row>
    <row r="2341" spans="1:16" x14ac:dyDescent="0.4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  <c r="P2341" s="1" t="str">
        <f t="shared" si="39"/>
        <v>5-8-2023</v>
      </c>
    </row>
    <row r="2342" spans="1:16" x14ac:dyDescent="0.4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  <c r="P2342" s="1" t="str">
        <f t="shared" si="39"/>
        <v>5-8-2023</v>
      </c>
    </row>
    <row r="2343" spans="1:16" x14ac:dyDescent="0.4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  <c r="P2343" s="1" t="str">
        <f t="shared" si="39"/>
        <v>5-8-2023</v>
      </c>
    </row>
    <row r="2344" spans="1:16" x14ac:dyDescent="0.4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  <c r="P2344" s="1" t="str">
        <f t="shared" si="39"/>
        <v>6-8-2023</v>
      </c>
    </row>
    <row r="2345" spans="1:16" x14ac:dyDescent="0.4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  <c r="P2345" s="1" t="str">
        <f t="shared" si="39"/>
        <v>6-8-2023</v>
      </c>
    </row>
    <row r="2346" spans="1:16" x14ac:dyDescent="0.4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  <c r="P2346" s="1" t="str">
        <f t="shared" si="39"/>
        <v>6-8-2023</v>
      </c>
    </row>
    <row r="2347" spans="1:16" x14ac:dyDescent="0.4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  <c r="P2347" s="1" t="str">
        <f t="shared" si="39"/>
        <v>6-8-2023</v>
      </c>
    </row>
    <row r="2348" spans="1:16" x14ac:dyDescent="0.4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  <c r="P2348" s="1" t="str">
        <f t="shared" si="39"/>
        <v>7-8-2023</v>
      </c>
    </row>
    <row r="2349" spans="1:16" x14ac:dyDescent="0.4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  <c r="P2349" s="1" t="str">
        <f t="shared" si="39"/>
        <v>7-8-2023</v>
      </c>
    </row>
    <row r="2350" spans="1:16" x14ac:dyDescent="0.4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  <c r="P2350" s="1" t="str">
        <f t="shared" si="39"/>
        <v>7-8-2023</v>
      </c>
    </row>
    <row r="2351" spans="1:16" x14ac:dyDescent="0.4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  <c r="P2351" s="1" t="str">
        <f t="shared" si="39"/>
        <v>7-8-2023</v>
      </c>
    </row>
    <row r="2352" spans="1:16" x14ac:dyDescent="0.4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  <c r="P2352" s="1" t="str">
        <f t="shared" si="39"/>
        <v>8-8-2023</v>
      </c>
    </row>
    <row r="2353" spans="1:16" x14ac:dyDescent="0.4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  <c r="P2353" s="1" t="str">
        <f t="shared" si="39"/>
        <v>8-8-2023</v>
      </c>
    </row>
    <row r="2354" spans="1:16" x14ac:dyDescent="0.4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  <c r="P2354" s="1" t="str">
        <f t="shared" si="39"/>
        <v>8-8-2023</v>
      </c>
    </row>
    <row r="2355" spans="1:16" x14ac:dyDescent="0.4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  <c r="P2355" s="1" t="str">
        <f t="shared" si="39"/>
        <v>9-8-2023</v>
      </c>
    </row>
    <row r="2356" spans="1:16" x14ac:dyDescent="0.4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  <c r="P2356" s="1" t="str">
        <f t="shared" si="39"/>
        <v>9-8-2023</v>
      </c>
    </row>
    <row r="2357" spans="1:16" x14ac:dyDescent="0.4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  <c r="P2357" s="1" t="str">
        <f t="shared" si="39"/>
        <v>9-8-2023</v>
      </c>
    </row>
    <row r="2358" spans="1:16" x14ac:dyDescent="0.4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  <c r="P2358" s="1" t="str">
        <f t="shared" si="39"/>
        <v>10-8-2023</v>
      </c>
    </row>
    <row r="2359" spans="1:16" x14ac:dyDescent="0.4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  <c r="P2359" s="1" t="str">
        <f t="shared" si="39"/>
        <v>10-8-2023</v>
      </c>
    </row>
    <row r="2360" spans="1:16" x14ac:dyDescent="0.4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  <c r="P2360" s="1" t="str">
        <f t="shared" si="39"/>
        <v>10-8-2023</v>
      </c>
    </row>
    <row r="2361" spans="1:16" x14ac:dyDescent="0.4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  <c r="P2361" s="1" t="str">
        <f t="shared" si="39"/>
        <v>11-8-2023</v>
      </c>
    </row>
    <row r="2362" spans="1:16" x14ac:dyDescent="0.4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  <c r="P2362" s="1" t="str">
        <f t="shared" si="39"/>
        <v>11-8-2023</v>
      </c>
    </row>
    <row r="2363" spans="1:16" x14ac:dyDescent="0.4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  <c r="P2363" s="1" t="str">
        <f t="shared" si="39"/>
        <v>11-8-2023</v>
      </c>
    </row>
    <row r="2364" spans="1:16" x14ac:dyDescent="0.4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  <c r="P2364" s="1" t="str">
        <f t="shared" si="39"/>
        <v>11-8-2023</v>
      </c>
    </row>
    <row r="2365" spans="1:16" x14ac:dyDescent="0.4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  <c r="P2365" s="1" t="str">
        <f t="shared" si="39"/>
        <v>12-8-2023</v>
      </c>
    </row>
    <row r="2366" spans="1:16" x14ac:dyDescent="0.4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  <c r="P2366" s="1" t="str">
        <f t="shared" si="39"/>
        <v>12-8-2023</v>
      </c>
    </row>
    <row r="2367" spans="1:16" x14ac:dyDescent="0.4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  <c r="P2367" s="1" t="str">
        <f t="shared" si="39"/>
        <v>12-8-2023</v>
      </c>
    </row>
    <row r="2368" spans="1:16" x14ac:dyDescent="0.4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  <c r="P2368" s="1" t="str">
        <f t="shared" si="39"/>
        <v>12-8-2023</v>
      </c>
    </row>
    <row r="2369" spans="1:16" x14ac:dyDescent="0.4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  <c r="P2369" s="1" t="str">
        <f t="shared" si="39"/>
        <v>13-8-2023</v>
      </c>
    </row>
    <row r="2370" spans="1:16" x14ac:dyDescent="0.4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  <c r="P2370" s="1" t="str">
        <f t="shared" si="39"/>
        <v>13-8-2023</v>
      </c>
    </row>
    <row r="2371" spans="1:16" x14ac:dyDescent="0.4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  <c r="P2371" s="1" t="str">
        <f t="shared" ref="P2371:P2434" si="40">B2371&amp;"-"&amp;C2371&amp;"-"&amp;D2371</f>
        <v>13-8-2023</v>
      </c>
    </row>
    <row r="2372" spans="1:16" x14ac:dyDescent="0.4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  <c r="P2372" s="1" t="str">
        <f t="shared" si="40"/>
        <v>13-8-2023</v>
      </c>
    </row>
    <row r="2373" spans="1:16" x14ac:dyDescent="0.4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  <c r="P2373" s="1" t="str">
        <f t="shared" si="40"/>
        <v>14-8-2023</v>
      </c>
    </row>
    <row r="2374" spans="1:16" x14ac:dyDescent="0.4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  <c r="P2374" s="1" t="str">
        <f t="shared" si="40"/>
        <v>14-8-2023</v>
      </c>
    </row>
    <row r="2375" spans="1:16" x14ac:dyDescent="0.4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  <c r="P2375" s="1" t="str">
        <f t="shared" si="40"/>
        <v>14-8-2023</v>
      </c>
    </row>
    <row r="2376" spans="1:16" x14ac:dyDescent="0.4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  <c r="P2376" s="1" t="str">
        <f t="shared" si="40"/>
        <v>14-8-2023</v>
      </c>
    </row>
    <row r="2377" spans="1:16" x14ac:dyDescent="0.4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  <c r="P2377" s="1" t="str">
        <f t="shared" si="40"/>
        <v>15-8-2023</v>
      </c>
    </row>
    <row r="2378" spans="1:16" x14ac:dyDescent="0.4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  <c r="P2378" s="1" t="str">
        <f t="shared" si="40"/>
        <v>15-8-2023</v>
      </c>
    </row>
    <row r="2379" spans="1:16" x14ac:dyDescent="0.4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  <c r="P2379" s="1" t="str">
        <f t="shared" si="40"/>
        <v>15-8-2023</v>
      </c>
    </row>
    <row r="2380" spans="1:16" x14ac:dyDescent="0.4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  <c r="P2380" s="1" t="str">
        <f t="shared" si="40"/>
        <v>16-8-2023</v>
      </c>
    </row>
    <row r="2381" spans="1:16" x14ac:dyDescent="0.4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  <c r="P2381" s="1" t="str">
        <f t="shared" si="40"/>
        <v>16-8-2023</v>
      </c>
    </row>
    <row r="2382" spans="1:16" x14ac:dyDescent="0.4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  <c r="P2382" s="1" t="str">
        <f t="shared" si="40"/>
        <v>16-8-2023</v>
      </c>
    </row>
    <row r="2383" spans="1:16" x14ac:dyDescent="0.4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  <c r="P2383" s="1" t="str">
        <f t="shared" si="40"/>
        <v>16-8-2023</v>
      </c>
    </row>
    <row r="2384" spans="1:16" x14ac:dyDescent="0.4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  <c r="P2384" s="1" t="str">
        <f t="shared" si="40"/>
        <v>17-8-2023</v>
      </c>
    </row>
    <row r="2385" spans="1:16" x14ac:dyDescent="0.4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  <c r="P2385" s="1" t="str">
        <f t="shared" si="40"/>
        <v>17-8-2023</v>
      </c>
    </row>
    <row r="2386" spans="1:16" x14ac:dyDescent="0.4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  <c r="P2386" s="1" t="str">
        <f t="shared" si="40"/>
        <v>17-8-2023</v>
      </c>
    </row>
    <row r="2387" spans="1:16" x14ac:dyDescent="0.4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  <c r="P2387" s="1" t="str">
        <f t="shared" si="40"/>
        <v>17-8-2023</v>
      </c>
    </row>
    <row r="2388" spans="1:16" x14ac:dyDescent="0.4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  <c r="P2388" s="1" t="str">
        <f t="shared" si="40"/>
        <v>18-8-2023</v>
      </c>
    </row>
    <row r="2389" spans="1:16" x14ac:dyDescent="0.4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  <c r="P2389" s="1" t="str">
        <f t="shared" si="40"/>
        <v>18-8-2023</v>
      </c>
    </row>
    <row r="2390" spans="1:16" x14ac:dyDescent="0.4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  <c r="P2390" s="1" t="str">
        <f t="shared" si="40"/>
        <v>18-8-2023</v>
      </c>
    </row>
    <row r="2391" spans="1:16" x14ac:dyDescent="0.4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  <c r="P2391" s="1" t="str">
        <f t="shared" si="40"/>
        <v>18-8-2023</v>
      </c>
    </row>
    <row r="2392" spans="1:16" x14ac:dyDescent="0.4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  <c r="P2392" s="1" t="str">
        <f t="shared" si="40"/>
        <v>19-8-2023</v>
      </c>
    </row>
    <row r="2393" spans="1:16" x14ac:dyDescent="0.4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  <c r="P2393" s="1" t="str">
        <f t="shared" si="40"/>
        <v>19-8-2023</v>
      </c>
    </row>
    <row r="2394" spans="1:16" x14ac:dyDescent="0.4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  <c r="P2394" s="1" t="str">
        <f t="shared" si="40"/>
        <v>19-8-2023</v>
      </c>
    </row>
    <row r="2395" spans="1:16" x14ac:dyDescent="0.4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  <c r="P2395" s="1" t="str">
        <f t="shared" si="40"/>
        <v>19-8-2023</v>
      </c>
    </row>
    <row r="2396" spans="1:16" x14ac:dyDescent="0.4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  <c r="P2396" s="1" t="str">
        <f t="shared" si="40"/>
        <v>20-8-2023</v>
      </c>
    </row>
    <row r="2397" spans="1:16" x14ac:dyDescent="0.4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  <c r="P2397" s="1" t="str">
        <f t="shared" si="40"/>
        <v>20-8-2023</v>
      </c>
    </row>
    <row r="2398" spans="1:16" x14ac:dyDescent="0.4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  <c r="P2398" s="1" t="str">
        <f t="shared" si="40"/>
        <v>20-8-2023</v>
      </c>
    </row>
    <row r="2399" spans="1:16" x14ac:dyDescent="0.4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  <c r="P2399" s="1" t="str">
        <f t="shared" si="40"/>
        <v>20-8-2023</v>
      </c>
    </row>
    <row r="2400" spans="1:16" x14ac:dyDescent="0.4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  <c r="P2400" s="1" t="str">
        <f t="shared" si="40"/>
        <v>21-8-2023</v>
      </c>
    </row>
    <row r="2401" spans="1:16" x14ac:dyDescent="0.4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  <c r="P2401" s="1" t="str">
        <f t="shared" si="40"/>
        <v>21-8-2023</v>
      </c>
    </row>
    <row r="2402" spans="1:16" x14ac:dyDescent="0.4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  <c r="P2402" s="1" t="str">
        <f t="shared" si="40"/>
        <v>21-8-2023</v>
      </c>
    </row>
    <row r="2403" spans="1:16" x14ac:dyDescent="0.4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  <c r="P2403" s="1" t="str">
        <f t="shared" si="40"/>
        <v>22-8-2023</v>
      </c>
    </row>
    <row r="2404" spans="1:16" x14ac:dyDescent="0.4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  <c r="P2404" s="1" t="str">
        <f t="shared" si="40"/>
        <v>22-8-2023</v>
      </c>
    </row>
    <row r="2405" spans="1:16" x14ac:dyDescent="0.4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  <c r="P2405" s="1" t="str">
        <f t="shared" si="40"/>
        <v>22-8-2023</v>
      </c>
    </row>
    <row r="2406" spans="1:16" x14ac:dyDescent="0.4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  <c r="P2406" s="1" t="str">
        <f t="shared" si="40"/>
        <v>23-8-2023</v>
      </c>
    </row>
    <row r="2407" spans="1:16" x14ac:dyDescent="0.4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  <c r="P2407" s="1" t="str">
        <f t="shared" si="40"/>
        <v>23-8-2023</v>
      </c>
    </row>
    <row r="2408" spans="1:16" x14ac:dyDescent="0.4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  <c r="P2408" s="1" t="str">
        <f t="shared" si="40"/>
        <v>23-8-2023</v>
      </c>
    </row>
    <row r="2409" spans="1:16" x14ac:dyDescent="0.4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  <c r="P2409" s="1" t="str">
        <f t="shared" si="40"/>
        <v>23-8-2023</v>
      </c>
    </row>
    <row r="2410" spans="1:16" x14ac:dyDescent="0.4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  <c r="P2410" s="1" t="str">
        <f t="shared" si="40"/>
        <v>24-8-2023</v>
      </c>
    </row>
    <row r="2411" spans="1:16" x14ac:dyDescent="0.4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  <c r="P2411" s="1" t="str">
        <f t="shared" si="40"/>
        <v>24-8-2023</v>
      </c>
    </row>
    <row r="2412" spans="1:16" x14ac:dyDescent="0.4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  <c r="P2412" s="1" t="str">
        <f t="shared" si="40"/>
        <v>24-8-2023</v>
      </c>
    </row>
    <row r="2413" spans="1:16" x14ac:dyDescent="0.4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  <c r="P2413" s="1" t="str">
        <f t="shared" si="40"/>
        <v>25-8-2023</v>
      </c>
    </row>
    <row r="2414" spans="1:16" x14ac:dyDescent="0.4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  <c r="P2414" s="1" t="str">
        <f t="shared" si="40"/>
        <v>25-8-2023</v>
      </c>
    </row>
    <row r="2415" spans="1:16" x14ac:dyDescent="0.4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  <c r="P2415" s="1" t="str">
        <f t="shared" si="40"/>
        <v>25-8-2023</v>
      </c>
    </row>
    <row r="2416" spans="1:16" x14ac:dyDescent="0.4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  <c r="P2416" s="1" t="str">
        <f t="shared" si="40"/>
        <v>25-8-2023</v>
      </c>
    </row>
    <row r="2417" spans="1:16" x14ac:dyDescent="0.4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  <c r="P2417" s="1" t="str">
        <f t="shared" si="40"/>
        <v>26-8-2023</v>
      </c>
    </row>
    <row r="2418" spans="1:16" x14ac:dyDescent="0.4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  <c r="P2418" s="1" t="str">
        <f t="shared" si="40"/>
        <v>26-8-2023</v>
      </c>
    </row>
    <row r="2419" spans="1:16" x14ac:dyDescent="0.4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  <c r="P2419" s="1" t="str">
        <f t="shared" si="40"/>
        <v>26-8-2023</v>
      </c>
    </row>
    <row r="2420" spans="1:16" x14ac:dyDescent="0.4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  <c r="P2420" s="1" t="str">
        <f t="shared" si="40"/>
        <v>26-8-2023</v>
      </c>
    </row>
    <row r="2421" spans="1:16" x14ac:dyDescent="0.4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  <c r="P2421" s="1" t="str">
        <f t="shared" si="40"/>
        <v>27-8-2023</v>
      </c>
    </row>
    <row r="2422" spans="1:16" x14ac:dyDescent="0.4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  <c r="P2422" s="1" t="str">
        <f t="shared" si="40"/>
        <v>27-8-2023</v>
      </c>
    </row>
    <row r="2423" spans="1:16" x14ac:dyDescent="0.4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  <c r="P2423" s="1" t="str">
        <f t="shared" si="40"/>
        <v>27-8-2023</v>
      </c>
    </row>
    <row r="2424" spans="1:16" x14ac:dyDescent="0.4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  <c r="P2424" s="1" t="str">
        <f t="shared" si="40"/>
        <v>28-8-2023</v>
      </c>
    </row>
    <row r="2425" spans="1:16" x14ac:dyDescent="0.4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  <c r="P2425" s="1" t="str">
        <f t="shared" si="40"/>
        <v>28-8-2023</v>
      </c>
    </row>
    <row r="2426" spans="1:16" x14ac:dyDescent="0.4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  <c r="P2426" s="1" t="str">
        <f t="shared" si="40"/>
        <v>28-8-2023</v>
      </c>
    </row>
    <row r="2427" spans="1:16" x14ac:dyDescent="0.4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  <c r="P2427" s="1" t="str">
        <f t="shared" si="40"/>
        <v>29-8-2023</v>
      </c>
    </row>
    <row r="2428" spans="1:16" x14ac:dyDescent="0.4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  <c r="P2428" s="1" t="str">
        <f t="shared" si="40"/>
        <v>29-8-2023</v>
      </c>
    </row>
    <row r="2429" spans="1:16" x14ac:dyDescent="0.4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  <c r="P2429" s="1" t="str">
        <f t="shared" si="40"/>
        <v>29-8-2023</v>
      </c>
    </row>
    <row r="2430" spans="1:16" x14ac:dyDescent="0.4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  <c r="P2430" s="1" t="str">
        <f t="shared" si="40"/>
        <v>29-8-2023</v>
      </c>
    </row>
    <row r="2431" spans="1:16" x14ac:dyDescent="0.4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  <c r="P2431" s="1" t="str">
        <f t="shared" si="40"/>
        <v>30-8-2023</v>
      </c>
    </row>
    <row r="2432" spans="1:16" x14ac:dyDescent="0.4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  <c r="P2432" s="1" t="str">
        <f t="shared" si="40"/>
        <v>30-8-2023</v>
      </c>
    </row>
    <row r="2433" spans="1:16" x14ac:dyDescent="0.4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  <c r="P2433" s="1" t="str">
        <f t="shared" si="40"/>
        <v>30-8-2023</v>
      </c>
    </row>
    <row r="2434" spans="1:16" x14ac:dyDescent="0.4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  <c r="P2434" s="1" t="str">
        <f t="shared" si="40"/>
        <v>30-8-2023</v>
      </c>
    </row>
    <row r="2435" spans="1:16" x14ac:dyDescent="0.4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  <c r="P2435" s="1" t="str">
        <f t="shared" ref="P2435:P2498" si="41">B2435&amp;"-"&amp;C2435&amp;"-"&amp;D2435</f>
        <v>31-8-2023</v>
      </c>
    </row>
    <row r="2436" spans="1:16" x14ac:dyDescent="0.4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  <c r="P2436" s="1" t="str">
        <f t="shared" si="41"/>
        <v>31-8-2023</v>
      </c>
    </row>
    <row r="2437" spans="1:16" x14ac:dyDescent="0.4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  <c r="P2437" s="1" t="str">
        <f t="shared" si="41"/>
        <v>31-8-2023</v>
      </c>
    </row>
    <row r="2438" spans="1:16" x14ac:dyDescent="0.4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  <c r="P2438" s="1" t="str">
        <f t="shared" si="41"/>
        <v>31-8-2023</v>
      </c>
    </row>
    <row r="2439" spans="1:16" x14ac:dyDescent="0.4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  <c r="P2439" s="1" t="str">
        <f t="shared" si="41"/>
        <v>1-9-2023</v>
      </c>
    </row>
    <row r="2440" spans="1:16" x14ac:dyDescent="0.4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  <c r="P2440" s="1" t="str">
        <f t="shared" si="41"/>
        <v>1-9-2023</v>
      </c>
    </row>
    <row r="2441" spans="1:16" x14ac:dyDescent="0.4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  <c r="P2441" s="1" t="str">
        <f t="shared" si="41"/>
        <v>1-9-2023</v>
      </c>
    </row>
    <row r="2442" spans="1:16" x14ac:dyDescent="0.4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  <c r="P2442" s="1" t="str">
        <f t="shared" si="41"/>
        <v>2-9-2023</v>
      </c>
    </row>
    <row r="2443" spans="1:16" x14ac:dyDescent="0.4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  <c r="P2443" s="1" t="str">
        <f t="shared" si="41"/>
        <v>2-9-2023</v>
      </c>
    </row>
    <row r="2444" spans="1:16" x14ac:dyDescent="0.4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  <c r="P2444" s="1" t="str">
        <f t="shared" si="41"/>
        <v>2-9-2023</v>
      </c>
    </row>
    <row r="2445" spans="1:16" x14ac:dyDescent="0.4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  <c r="P2445" s="1" t="str">
        <f t="shared" si="41"/>
        <v>2-9-2023</v>
      </c>
    </row>
    <row r="2446" spans="1:16" x14ac:dyDescent="0.4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  <c r="P2446" s="1" t="str">
        <f t="shared" si="41"/>
        <v>3-9-2023</v>
      </c>
    </row>
    <row r="2447" spans="1:16" x14ac:dyDescent="0.4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  <c r="P2447" s="1" t="str">
        <f t="shared" si="41"/>
        <v>3-9-2023</v>
      </c>
    </row>
    <row r="2448" spans="1:16" x14ac:dyDescent="0.4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  <c r="P2448" s="1" t="str">
        <f t="shared" si="41"/>
        <v>3-9-2023</v>
      </c>
    </row>
    <row r="2449" spans="1:16" x14ac:dyDescent="0.4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  <c r="P2449" s="1" t="str">
        <f t="shared" si="41"/>
        <v>3-9-2023</v>
      </c>
    </row>
    <row r="2450" spans="1:16" x14ac:dyDescent="0.4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  <c r="P2450" s="1" t="str">
        <f t="shared" si="41"/>
        <v>4-9-2023</v>
      </c>
    </row>
    <row r="2451" spans="1:16" x14ac:dyDescent="0.4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  <c r="P2451" s="1" t="str">
        <f t="shared" si="41"/>
        <v>4-9-2023</v>
      </c>
    </row>
    <row r="2452" spans="1:16" x14ac:dyDescent="0.4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  <c r="P2452" s="1" t="str">
        <f t="shared" si="41"/>
        <v>4-9-2023</v>
      </c>
    </row>
    <row r="2453" spans="1:16" x14ac:dyDescent="0.4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  <c r="P2453" s="1" t="str">
        <f t="shared" si="41"/>
        <v>4-9-2023</v>
      </c>
    </row>
    <row r="2454" spans="1:16" x14ac:dyDescent="0.4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  <c r="P2454" s="1" t="str">
        <f t="shared" si="41"/>
        <v>5-9-2023</v>
      </c>
    </row>
    <row r="2455" spans="1:16" x14ac:dyDescent="0.4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  <c r="P2455" s="1" t="str">
        <f t="shared" si="41"/>
        <v>5-9-2023</v>
      </c>
    </row>
    <row r="2456" spans="1:16" x14ac:dyDescent="0.4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  <c r="P2456" s="1" t="str">
        <f t="shared" si="41"/>
        <v>5-9-2023</v>
      </c>
    </row>
    <row r="2457" spans="1:16" x14ac:dyDescent="0.4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  <c r="P2457" s="1" t="str">
        <f t="shared" si="41"/>
        <v>6-9-2023</v>
      </c>
    </row>
    <row r="2458" spans="1:16" x14ac:dyDescent="0.4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  <c r="P2458" s="1" t="str">
        <f t="shared" si="41"/>
        <v>6-9-2023</v>
      </c>
    </row>
    <row r="2459" spans="1:16" x14ac:dyDescent="0.4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  <c r="P2459" s="1" t="str">
        <f t="shared" si="41"/>
        <v>6-9-2023</v>
      </c>
    </row>
    <row r="2460" spans="1:16" x14ac:dyDescent="0.4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  <c r="P2460" s="1" t="str">
        <f t="shared" si="41"/>
        <v>6-9-2023</v>
      </c>
    </row>
    <row r="2461" spans="1:16" x14ac:dyDescent="0.4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  <c r="P2461" s="1" t="str">
        <f t="shared" si="41"/>
        <v>7-9-2023</v>
      </c>
    </row>
    <row r="2462" spans="1:16" x14ac:dyDescent="0.4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  <c r="P2462" s="1" t="str">
        <f t="shared" si="41"/>
        <v>7-9-2023</v>
      </c>
    </row>
    <row r="2463" spans="1:16" x14ac:dyDescent="0.4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  <c r="P2463" s="1" t="str">
        <f t="shared" si="41"/>
        <v>7-9-2023</v>
      </c>
    </row>
    <row r="2464" spans="1:16" x14ac:dyDescent="0.4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  <c r="P2464" s="1" t="str">
        <f t="shared" si="41"/>
        <v>7-9-2023</v>
      </c>
    </row>
    <row r="2465" spans="1:16" x14ac:dyDescent="0.4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  <c r="P2465" s="1" t="str">
        <f t="shared" si="41"/>
        <v>8-9-2023</v>
      </c>
    </row>
    <row r="2466" spans="1:16" x14ac:dyDescent="0.4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  <c r="P2466" s="1" t="str">
        <f t="shared" si="41"/>
        <v>8-9-2023</v>
      </c>
    </row>
    <row r="2467" spans="1:16" x14ac:dyDescent="0.4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  <c r="P2467" s="1" t="str">
        <f t="shared" si="41"/>
        <v>8-9-2023</v>
      </c>
    </row>
    <row r="2468" spans="1:16" x14ac:dyDescent="0.4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  <c r="P2468" s="1" t="str">
        <f t="shared" si="41"/>
        <v>9-9-2023</v>
      </c>
    </row>
    <row r="2469" spans="1:16" x14ac:dyDescent="0.4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  <c r="P2469" s="1" t="str">
        <f t="shared" si="41"/>
        <v>9-9-2023</v>
      </c>
    </row>
    <row r="2470" spans="1:16" x14ac:dyDescent="0.4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  <c r="P2470" s="1" t="str">
        <f t="shared" si="41"/>
        <v>9-9-2023</v>
      </c>
    </row>
    <row r="2471" spans="1:16" x14ac:dyDescent="0.4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  <c r="P2471" s="1" t="str">
        <f t="shared" si="41"/>
        <v>9-9-2023</v>
      </c>
    </row>
    <row r="2472" spans="1:16" x14ac:dyDescent="0.4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  <c r="P2472" s="1" t="str">
        <f t="shared" si="41"/>
        <v>10-9-2023</v>
      </c>
    </row>
    <row r="2473" spans="1:16" x14ac:dyDescent="0.4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  <c r="P2473" s="1" t="str">
        <f t="shared" si="41"/>
        <v>10-9-2023</v>
      </c>
    </row>
    <row r="2474" spans="1:16" x14ac:dyDescent="0.4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  <c r="P2474" s="1" t="str">
        <f t="shared" si="41"/>
        <v>10-9-2023</v>
      </c>
    </row>
    <row r="2475" spans="1:16" x14ac:dyDescent="0.4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  <c r="P2475" s="1" t="str">
        <f t="shared" si="41"/>
        <v>10-9-2023</v>
      </c>
    </row>
    <row r="2476" spans="1:16" x14ac:dyDescent="0.4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  <c r="P2476" s="1" t="str">
        <f t="shared" si="41"/>
        <v>11-9-2023</v>
      </c>
    </row>
    <row r="2477" spans="1:16" x14ac:dyDescent="0.4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  <c r="P2477" s="1" t="str">
        <f t="shared" si="41"/>
        <v>11-9-2023</v>
      </c>
    </row>
    <row r="2478" spans="1:16" x14ac:dyDescent="0.4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  <c r="P2478" s="1" t="str">
        <f t="shared" si="41"/>
        <v>11-9-2023</v>
      </c>
    </row>
    <row r="2479" spans="1:16" x14ac:dyDescent="0.4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  <c r="P2479" s="1" t="str">
        <f t="shared" si="41"/>
        <v>12-9-2023</v>
      </c>
    </row>
    <row r="2480" spans="1:16" x14ac:dyDescent="0.4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  <c r="P2480" s="1" t="str">
        <f t="shared" si="41"/>
        <v>12-9-2023</v>
      </c>
    </row>
    <row r="2481" spans="1:16" x14ac:dyDescent="0.4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  <c r="P2481" s="1" t="str">
        <f t="shared" si="41"/>
        <v>12-9-2023</v>
      </c>
    </row>
    <row r="2482" spans="1:16" x14ac:dyDescent="0.4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  <c r="P2482" s="1" t="str">
        <f t="shared" si="41"/>
        <v>12-9-2023</v>
      </c>
    </row>
    <row r="2483" spans="1:16" x14ac:dyDescent="0.4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  <c r="P2483" s="1" t="str">
        <f t="shared" si="41"/>
        <v>13-9-2023</v>
      </c>
    </row>
    <row r="2484" spans="1:16" x14ac:dyDescent="0.4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  <c r="P2484" s="1" t="str">
        <f t="shared" si="41"/>
        <v>13-9-2023</v>
      </c>
    </row>
    <row r="2485" spans="1:16" x14ac:dyDescent="0.4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  <c r="P2485" s="1" t="str">
        <f t="shared" si="41"/>
        <v>13-9-2023</v>
      </c>
    </row>
    <row r="2486" spans="1:16" x14ac:dyDescent="0.4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  <c r="P2486" s="1" t="str">
        <f t="shared" si="41"/>
        <v>14-9-2023</v>
      </c>
    </row>
    <row r="2487" spans="1:16" x14ac:dyDescent="0.4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  <c r="P2487" s="1" t="str">
        <f t="shared" si="41"/>
        <v>14-9-2023</v>
      </c>
    </row>
    <row r="2488" spans="1:16" x14ac:dyDescent="0.4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  <c r="P2488" s="1" t="str">
        <f t="shared" si="41"/>
        <v>14-9-2023</v>
      </c>
    </row>
    <row r="2489" spans="1:16" x14ac:dyDescent="0.4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  <c r="P2489" s="1" t="str">
        <f t="shared" si="41"/>
        <v>15-9-2023</v>
      </c>
    </row>
    <row r="2490" spans="1:16" x14ac:dyDescent="0.4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  <c r="P2490" s="1" t="str">
        <f t="shared" si="41"/>
        <v>15-9-2023</v>
      </c>
    </row>
    <row r="2491" spans="1:16" x14ac:dyDescent="0.4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  <c r="P2491" s="1" t="str">
        <f t="shared" si="41"/>
        <v>15-9-2023</v>
      </c>
    </row>
    <row r="2492" spans="1:16" x14ac:dyDescent="0.4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  <c r="P2492" s="1" t="str">
        <f t="shared" si="41"/>
        <v>15-9-2023</v>
      </c>
    </row>
    <row r="2493" spans="1:16" x14ac:dyDescent="0.4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  <c r="P2493" s="1" t="str">
        <f t="shared" si="41"/>
        <v>16-9-2023</v>
      </c>
    </row>
    <row r="2494" spans="1:16" x14ac:dyDescent="0.4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  <c r="P2494" s="1" t="str">
        <f t="shared" si="41"/>
        <v>16-9-2023</v>
      </c>
    </row>
    <row r="2495" spans="1:16" x14ac:dyDescent="0.4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  <c r="P2495" s="1" t="str">
        <f t="shared" si="41"/>
        <v>16-9-2023</v>
      </c>
    </row>
    <row r="2496" spans="1:16" x14ac:dyDescent="0.4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  <c r="P2496" s="1" t="str">
        <f t="shared" si="41"/>
        <v>16-9-2023</v>
      </c>
    </row>
    <row r="2497" spans="1:16" x14ac:dyDescent="0.4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  <c r="P2497" s="1" t="str">
        <f t="shared" si="41"/>
        <v>17-9-2023</v>
      </c>
    </row>
    <row r="2498" spans="1:16" x14ac:dyDescent="0.4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  <c r="P2498" s="1" t="str">
        <f t="shared" si="41"/>
        <v>17-9-2023</v>
      </c>
    </row>
    <row r="2499" spans="1:16" x14ac:dyDescent="0.4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  <c r="P2499" s="1" t="str">
        <f t="shared" ref="P2499:P2562" si="42">B2499&amp;"-"&amp;C2499&amp;"-"&amp;D2499</f>
        <v>17-9-2023</v>
      </c>
    </row>
    <row r="2500" spans="1:16" x14ac:dyDescent="0.4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  <c r="P2500" s="1" t="str">
        <f t="shared" si="42"/>
        <v>17-9-2023</v>
      </c>
    </row>
    <row r="2501" spans="1:16" x14ac:dyDescent="0.4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  <c r="P2501" s="1" t="str">
        <f t="shared" si="42"/>
        <v>18-9-2023</v>
      </c>
    </row>
    <row r="2502" spans="1:16" x14ac:dyDescent="0.4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  <c r="P2502" s="1" t="str">
        <f t="shared" si="42"/>
        <v>18-9-2023</v>
      </c>
    </row>
    <row r="2503" spans="1:16" x14ac:dyDescent="0.4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  <c r="P2503" s="1" t="str">
        <f t="shared" si="42"/>
        <v>18-9-2023</v>
      </c>
    </row>
    <row r="2504" spans="1:16" x14ac:dyDescent="0.4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  <c r="P2504" s="1" t="str">
        <f t="shared" si="42"/>
        <v>18-9-2023</v>
      </c>
    </row>
    <row r="2505" spans="1:16" x14ac:dyDescent="0.4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  <c r="P2505" s="1" t="str">
        <f t="shared" si="42"/>
        <v>19-9-2023</v>
      </c>
    </row>
    <row r="2506" spans="1:16" x14ac:dyDescent="0.4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  <c r="P2506" s="1" t="str">
        <f t="shared" si="42"/>
        <v>19-9-2023</v>
      </c>
    </row>
    <row r="2507" spans="1:16" x14ac:dyDescent="0.4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  <c r="P2507" s="1" t="str">
        <f t="shared" si="42"/>
        <v>19-9-2023</v>
      </c>
    </row>
    <row r="2508" spans="1:16" x14ac:dyDescent="0.4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  <c r="P2508" s="1" t="str">
        <f t="shared" si="42"/>
        <v>20-9-2023</v>
      </c>
    </row>
    <row r="2509" spans="1:16" x14ac:dyDescent="0.4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  <c r="P2509" s="1" t="str">
        <f t="shared" si="42"/>
        <v>20-9-2023</v>
      </c>
    </row>
    <row r="2510" spans="1:16" x14ac:dyDescent="0.4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  <c r="P2510" s="1" t="str">
        <f t="shared" si="42"/>
        <v>20-9-2023</v>
      </c>
    </row>
    <row r="2511" spans="1:16" x14ac:dyDescent="0.4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  <c r="P2511" s="1" t="str">
        <f t="shared" si="42"/>
        <v>20-9-2023</v>
      </c>
    </row>
    <row r="2512" spans="1:16" x14ac:dyDescent="0.4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  <c r="P2512" s="1" t="str">
        <f t="shared" si="42"/>
        <v>21-9-2023</v>
      </c>
    </row>
    <row r="2513" spans="1:16" x14ac:dyDescent="0.4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  <c r="P2513" s="1" t="str">
        <f t="shared" si="42"/>
        <v>21-9-2023</v>
      </c>
    </row>
    <row r="2514" spans="1:16" x14ac:dyDescent="0.4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  <c r="P2514" s="1" t="str">
        <f t="shared" si="42"/>
        <v>21-9-2023</v>
      </c>
    </row>
    <row r="2515" spans="1:16" x14ac:dyDescent="0.4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  <c r="P2515" s="1" t="str">
        <f t="shared" si="42"/>
        <v>22-9-2023</v>
      </c>
    </row>
    <row r="2516" spans="1:16" x14ac:dyDescent="0.4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  <c r="P2516" s="1" t="str">
        <f t="shared" si="42"/>
        <v>22-9-2023</v>
      </c>
    </row>
    <row r="2517" spans="1:16" x14ac:dyDescent="0.4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  <c r="P2517" s="1" t="str">
        <f t="shared" si="42"/>
        <v>22-9-2023</v>
      </c>
    </row>
    <row r="2518" spans="1:16" x14ac:dyDescent="0.4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  <c r="P2518" s="1" t="str">
        <f t="shared" si="42"/>
        <v>22-9-2023</v>
      </c>
    </row>
    <row r="2519" spans="1:16" x14ac:dyDescent="0.4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  <c r="P2519" s="1" t="str">
        <f t="shared" si="42"/>
        <v>23-9-2023</v>
      </c>
    </row>
    <row r="2520" spans="1:16" x14ac:dyDescent="0.4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  <c r="P2520" s="1" t="str">
        <f t="shared" si="42"/>
        <v>23-9-2023</v>
      </c>
    </row>
    <row r="2521" spans="1:16" x14ac:dyDescent="0.4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  <c r="P2521" s="1" t="str">
        <f t="shared" si="42"/>
        <v>23-9-2023</v>
      </c>
    </row>
    <row r="2522" spans="1:16" x14ac:dyDescent="0.4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  <c r="P2522" s="1" t="str">
        <f t="shared" si="42"/>
        <v>23-9-2023</v>
      </c>
    </row>
    <row r="2523" spans="1:16" x14ac:dyDescent="0.4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  <c r="P2523" s="1" t="str">
        <f t="shared" si="42"/>
        <v>24-9-2023</v>
      </c>
    </row>
    <row r="2524" spans="1:16" x14ac:dyDescent="0.4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  <c r="P2524" s="1" t="str">
        <f t="shared" si="42"/>
        <v>24-9-2023</v>
      </c>
    </row>
    <row r="2525" spans="1:16" x14ac:dyDescent="0.4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  <c r="P2525" s="1" t="str">
        <f t="shared" si="42"/>
        <v>24-9-2023</v>
      </c>
    </row>
    <row r="2526" spans="1:16" x14ac:dyDescent="0.4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  <c r="P2526" s="1" t="str">
        <f t="shared" si="42"/>
        <v>24-9-2023</v>
      </c>
    </row>
    <row r="2527" spans="1:16" x14ac:dyDescent="0.4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  <c r="P2527" s="1" t="str">
        <f t="shared" si="42"/>
        <v>25-9-2023</v>
      </c>
    </row>
    <row r="2528" spans="1:16" x14ac:dyDescent="0.4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  <c r="P2528" s="1" t="str">
        <f t="shared" si="42"/>
        <v>25-9-2023</v>
      </c>
    </row>
    <row r="2529" spans="1:16" x14ac:dyDescent="0.4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  <c r="P2529" s="1" t="str">
        <f t="shared" si="42"/>
        <v>25-9-2023</v>
      </c>
    </row>
    <row r="2530" spans="1:16" x14ac:dyDescent="0.4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  <c r="P2530" s="1" t="str">
        <f t="shared" si="42"/>
        <v>26-9-2023</v>
      </c>
    </row>
    <row r="2531" spans="1:16" x14ac:dyDescent="0.4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  <c r="P2531" s="1" t="str">
        <f t="shared" si="42"/>
        <v>26-9-2023</v>
      </c>
    </row>
    <row r="2532" spans="1:16" x14ac:dyDescent="0.4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  <c r="P2532" s="1" t="str">
        <f t="shared" si="42"/>
        <v>26-9-2023</v>
      </c>
    </row>
    <row r="2533" spans="1:16" x14ac:dyDescent="0.4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  <c r="P2533" s="1" t="str">
        <f t="shared" si="42"/>
        <v>26-9-2023</v>
      </c>
    </row>
    <row r="2534" spans="1:16" x14ac:dyDescent="0.4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  <c r="P2534" s="1" t="str">
        <f t="shared" si="42"/>
        <v>27-9-2023</v>
      </c>
    </row>
    <row r="2535" spans="1:16" x14ac:dyDescent="0.4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  <c r="P2535" s="1" t="str">
        <f t="shared" si="42"/>
        <v>27-9-2023</v>
      </c>
    </row>
    <row r="2536" spans="1:16" x14ac:dyDescent="0.4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  <c r="P2536" s="1" t="str">
        <f t="shared" si="42"/>
        <v>27-9-2023</v>
      </c>
    </row>
    <row r="2537" spans="1:16" x14ac:dyDescent="0.4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  <c r="P2537" s="1" t="str">
        <f t="shared" si="42"/>
        <v>27-9-2023</v>
      </c>
    </row>
    <row r="2538" spans="1:16" x14ac:dyDescent="0.4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  <c r="P2538" s="1" t="str">
        <f t="shared" si="42"/>
        <v>28-9-2023</v>
      </c>
    </row>
    <row r="2539" spans="1:16" x14ac:dyDescent="0.4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  <c r="P2539" s="1" t="str">
        <f t="shared" si="42"/>
        <v>28-9-2023</v>
      </c>
    </row>
    <row r="2540" spans="1:16" x14ac:dyDescent="0.4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  <c r="P2540" s="1" t="str">
        <f t="shared" si="42"/>
        <v>28-9-2023</v>
      </c>
    </row>
    <row r="2541" spans="1:16" x14ac:dyDescent="0.4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  <c r="P2541" s="1" t="str">
        <f t="shared" si="42"/>
        <v>28-9-2023</v>
      </c>
    </row>
    <row r="2542" spans="1:16" x14ac:dyDescent="0.4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  <c r="P2542" s="1" t="str">
        <f t="shared" si="42"/>
        <v>29-9-2023</v>
      </c>
    </row>
    <row r="2543" spans="1:16" x14ac:dyDescent="0.4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  <c r="P2543" s="1" t="str">
        <f t="shared" si="42"/>
        <v>29-9-2023</v>
      </c>
    </row>
    <row r="2544" spans="1:16" x14ac:dyDescent="0.4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  <c r="P2544" s="1" t="str">
        <f t="shared" si="42"/>
        <v>29-9-2023</v>
      </c>
    </row>
    <row r="2545" spans="1:16" x14ac:dyDescent="0.4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  <c r="P2545" s="1" t="str">
        <f t="shared" si="42"/>
        <v>29-9-2023</v>
      </c>
    </row>
    <row r="2546" spans="1:16" x14ac:dyDescent="0.4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  <c r="P2546" s="1" t="str">
        <f t="shared" si="42"/>
        <v>30-9-2023</v>
      </c>
    </row>
    <row r="2547" spans="1:16" x14ac:dyDescent="0.4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  <c r="P2547" s="1" t="str">
        <f t="shared" si="42"/>
        <v>30-9-2023</v>
      </c>
    </row>
    <row r="2548" spans="1:16" x14ac:dyDescent="0.4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  <c r="P2548" s="1" t="str">
        <f t="shared" si="42"/>
        <v>30-9-2023</v>
      </c>
    </row>
    <row r="2549" spans="1:16" x14ac:dyDescent="0.4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  <c r="P2549" s="1" t="str">
        <f t="shared" si="42"/>
        <v>1-10-2023</v>
      </c>
    </row>
    <row r="2550" spans="1:16" x14ac:dyDescent="0.4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  <c r="P2550" s="1" t="str">
        <f t="shared" si="42"/>
        <v>1-10-2023</v>
      </c>
    </row>
    <row r="2551" spans="1:16" x14ac:dyDescent="0.4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  <c r="P2551" s="1" t="str">
        <f t="shared" si="42"/>
        <v>1-10-2023</v>
      </c>
    </row>
    <row r="2552" spans="1:16" x14ac:dyDescent="0.4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  <c r="P2552" s="1" t="str">
        <f t="shared" si="42"/>
        <v>1-10-2023</v>
      </c>
    </row>
    <row r="2553" spans="1:16" x14ac:dyDescent="0.4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  <c r="P2553" s="1" t="str">
        <f t="shared" si="42"/>
        <v>2-10-2023</v>
      </c>
    </row>
    <row r="2554" spans="1:16" x14ac:dyDescent="0.4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  <c r="P2554" s="1" t="str">
        <f t="shared" si="42"/>
        <v>2-10-2023</v>
      </c>
    </row>
    <row r="2555" spans="1:16" x14ac:dyDescent="0.4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  <c r="P2555" s="1" t="str">
        <f t="shared" si="42"/>
        <v>2-10-2023</v>
      </c>
    </row>
    <row r="2556" spans="1:16" x14ac:dyDescent="0.4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  <c r="P2556" s="1" t="str">
        <f t="shared" si="42"/>
        <v>3-10-2023</v>
      </c>
    </row>
    <row r="2557" spans="1:16" x14ac:dyDescent="0.4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  <c r="P2557" s="1" t="str">
        <f t="shared" si="42"/>
        <v>3-10-2023</v>
      </c>
    </row>
    <row r="2558" spans="1:16" x14ac:dyDescent="0.4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  <c r="P2558" s="1" t="str">
        <f t="shared" si="42"/>
        <v>3-10-2023</v>
      </c>
    </row>
    <row r="2559" spans="1:16" x14ac:dyDescent="0.4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  <c r="P2559" s="1" t="str">
        <f t="shared" si="42"/>
        <v>4-10-2023</v>
      </c>
    </row>
    <row r="2560" spans="1:16" x14ac:dyDescent="0.4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  <c r="P2560" s="1" t="str">
        <f t="shared" si="42"/>
        <v>4-10-2023</v>
      </c>
    </row>
    <row r="2561" spans="1:16" x14ac:dyDescent="0.4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  <c r="P2561" s="1" t="str">
        <f t="shared" si="42"/>
        <v>4-10-2023</v>
      </c>
    </row>
    <row r="2562" spans="1:16" x14ac:dyDescent="0.4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  <c r="P2562" s="1" t="str">
        <f t="shared" si="42"/>
        <v>5-10-2023</v>
      </c>
    </row>
    <row r="2563" spans="1:16" x14ac:dyDescent="0.4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  <c r="P2563" s="1" t="str">
        <f t="shared" ref="P2563:P2626" si="43">B2563&amp;"-"&amp;C2563&amp;"-"&amp;D2563</f>
        <v>5-10-2023</v>
      </c>
    </row>
    <row r="2564" spans="1:16" x14ac:dyDescent="0.4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  <c r="P2564" s="1" t="str">
        <f t="shared" si="43"/>
        <v>5-10-2023</v>
      </c>
    </row>
    <row r="2565" spans="1:16" x14ac:dyDescent="0.4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  <c r="P2565" s="1" t="str">
        <f t="shared" si="43"/>
        <v>6-10-2023</v>
      </c>
    </row>
    <row r="2566" spans="1:16" x14ac:dyDescent="0.4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  <c r="P2566" s="1" t="str">
        <f t="shared" si="43"/>
        <v>6-10-2023</v>
      </c>
    </row>
    <row r="2567" spans="1:16" x14ac:dyDescent="0.4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  <c r="P2567" s="1" t="str">
        <f t="shared" si="43"/>
        <v>6-10-2023</v>
      </c>
    </row>
    <row r="2568" spans="1:16" x14ac:dyDescent="0.4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  <c r="P2568" s="1" t="str">
        <f t="shared" si="43"/>
        <v>7-10-2023</v>
      </c>
    </row>
    <row r="2569" spans="1:16" x14ac:dyDescent="0.4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  <c r="P2569" s="1" t="str">
        <f t="shared" si="43"/>
        <v>7-10-2023</v>
      </c>
    </row>
    <row r="2570" spans="1:16" x14ac:dyDescent="0.4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  <c r="P2570" s="1" t="str">
        <f t="shared" si="43"/>
        <v>7-10-2023</v>
      </c>
    </row>
    <row r="2571" spans="1:16" x14ac:dyDescent="0.4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  <c r="P2571" s="1" t="str">
        <f t="shared" si="43"/>
        <v>8-10-2023</v>
      </c>
    </row>
    <row r="2572" spans="1:16" x14ac:dyDescent="0.4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  <c r="P2572" s="1" t="str">
        <f t="shared" si="43"/>
        <v>8-10-2023</v>
      </c>
    </row>
    <row r="2573" spans="1:16" x14ac:dyDescent="0.4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  <c r="P2573" s="1" t="str">
        <f t="shared" si="43"/>
        <v>8-10-2023</v>
      </c>
    </row>
    <row r="2574" spans="1:16" x14ac:dyDescent="0.4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  <c r="P2574" s="1" t="str">
        <f t="shared" si="43"/>
        <v>8-10-2023</v>
      </c>
    </row>
    <row r="2575" spans="1:16" x14ac:dyDescent="0.4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  <c r="P2575" s="1" t="str">
        <f t="shared" si="43"/>
        <v>9-10-2023</v>
      </c>
    </row>
    <row r="2576" spans="1:16" x14ac:dyDescent="0.4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  <c r="P2576" s="1" t="str">
        <f t="shared" si="43"/>
        <v>9-10-2023</v>
      </c>
    </row>
    <row r="2577" spans="1:16" x14ac:dyDescent="0.4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  <c r="P2577" s="1" t="str">
        <f t="shared" si="43"/>
        <v>9-10-2023</v>
      </c>
    </row>
    <row r="2578" spans="1:16" x14ac:dyDescent="0.4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  <c r="P2578" s="1" t="str">
        <f t="shared" si="43"/>
        <v>10-10-2023</v>
      </c>
    </row>
    <row r="2579" spans="1:16" x14ac:dyDescent="0.4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  <c r="P2579" s="1" t="str">
        <f t="shared" si="43"/>
        <v>10-10-2023</v>
      </c>
    </row>
    <row r="2580" spans="1:16" x14ac:dyDescent="0.4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  <c r="P2580" s="1" t="str">
        <f t="shared" si="43"/>
        <v>10-10-2023</v>
      </c>
    </row>
    <row r="2581" spans="1:16" x14ac:dyDescent="0.4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  <c r="P2581" s="1" t="str">
        <f t="shared" si="43"/>
        <v>11-10-2023</v>
      </c>
    </row>
    <row r="2582" spans="1:16" x14ac:dyDescent="0.4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  <c r="P2582" s="1" t="str">
        <f t="shared" si="43"/>
        <v>11-10-2023</v>
      </c>
    </row>
    <row r="2583" spans="1:16" x14ac:dyDescent="0.4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  <c r="P2583" s="1" t="str">
        <f t="shared" si="43"/>
        <v>11-10-2023</v>
      </c>
    </row>
    <row r="2584" spans="1:16" x14ac:dyDescent="0.4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  <c r="P2584" s="1" t="str">
        <f t="shared" si="43"/>
        <v>12-10-2023</v>
      </c>
    </row>
    <row r="2585" spans="1:16" x14ac:dyDescent="0.4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  <c r="P2585" s="1" t="str">
        <f t="shared" si="43"/>
        <v>12-10-2023</v>
      </c>
    </row>
    <row r="2586" spans="1:16" x14ac:dyDescent="0.4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  <c r="P2586" s="1" t="str">
        <f t="shared" si="43"/>
        <v>12-10-2023</v>
      </c>
    </row>
    <row r="2587" spans="1:16" x14ac:dyDescent="0.4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  <c r="P2587" s="1" t="str">
        <f t="shared" si="43"/>
        <v>12-10-2023</v>
      </c>
    </row>
    <row r="2588" spans="1:16" x14ac:dyDescent="0.4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  <c r="P2588" s="1" t="str">
        <f t="shared" si="43"/>
        <v>13-10-2023</v>
      </c>
    </row>
    <row r="2589" spans="1:16" x14ac:dyDescent="0.4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  <c r="P2589" s="1" t="str">
        <f t="shared" si="43"/>
        <v>13-10-2023</v>
      </c>
    </row>
    <row r="2590" spans="1:16" x14ac:dyDescent="0.4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  <c r="P2590" s="1" t="str">
        <f t="shared" si="43"/>
        <v>13-10-2023</v>
      </c>
    </row>
    <row r="2591" spans="1:16" x14ac:dyDescent="0.4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  <c r="P2591" s="1" t="str">
        <f t="shared" si="43"/>
        <v>13-10-2023</v>
      </c>
    </row>
    <row r="2592" spans="1:16" x14ac:dyDescent="0.4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  <c r="P2592" s="1" t="str">
        <f t="shared" si="43"/>
        <v>14-10-2023</v>
      </c>
    </row>
    <row r="2593" spans="1:16" x14ac:dyDescent="0.4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  <c r="P2593" s="1" t="str">
        <f t="shared" si="43"/>
        <v>14-10-2023</v>
      </c>
    </row>
    <row r="2594" spans="1:16" x14ac:dyDescent="0.4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  <c r="P2594" s="1" t="str">
        <f t="shared" si="43"/>
        <v>14-10-2023</v>
      </c>
    </row>
    <row r="2595" spans="1:16" x14ac:dyDescent="0.4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  <c r="P2595" s="1" t="str">
        <f t="shared" si="43"/>
        <v>15-10-2023</v>
      </c>
    </row>
    <row r="2596" spans="1:16" x14ac:dyDescent="0.4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  <c r="P2596" s="1" t="str">
        <f t="shared" si="43"/>
        <v>15-10-2023</v>
      </c>
    </row>
    <row r="2597" spans="1:16" x14ac:dyDescent="0.4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  <c r="P2597" s="1" t="str">
        <f t="shared" si="43"/>
        <v>15-10-2023</v>
      </c>
    </row>
    <row r="2598" spans="1:16" x14ac:dyDescent="0.4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  <c r="P2598" s="1" t="str">
        <f t="shared" si="43"/>
        <v>15-10-2023</v>
      </c>
    </row>
    <row r="2599" spans="1:16" x14ac:dyDescent="0.4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  <c r="P2599" s="1" t="str">
        <f t="shared" si="43"/>
        <v>16-10-2023</v>
      </c>
    </row>
    <row r="2600" spans="1:16" x14ac:dyDescent="0.4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  <c r="P2600" s="1" t="str">
        <f t="shared" si="43"/>
        <v>16-10-2023</v>
      </c>
    </row>
    <row r="2601" spans="1:16" x14ac:dyDescent="0.4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  <c r="P2601" s="1" t="str">
        <f t="shared" si="43"/>
        <v>16-10-2023</v>
      </c>
    </row>
    <row r="2602" spans="1:16" x14ac:dyDescent="0.4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  <c r="P2602" s="1" t="str">
        <f t="shared" si="43"/>
        <v>17-10-2023</v>
      </c>
    </row>
    <row r="2603" spans="1:16" x14ac:dyDescent="0.4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  <c r="P2603" s="1" t="str">
        <f t="shared" si="43"/>
        <v>17-10-2023</v>
      </c>
    </row>
    <row r="2604" spans="1:16" x14ac:dyDescent="0.4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  <c r="P2604" s="1" t="str">
        <f t="shared" si="43"/>
        <v>17-10-2023</v>
      </c>
    </row>
    <row r="2605" spans="1:16" x14ac:dyDescent="0.4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  <c r="P2605" s="1" t="str">
        <f t="shared" si="43"/>
        <v>18-10-2023</v>
      </c>
    </row>
    <row r="2606" spans="1:16" x14ac:dyDescent="0.4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  <c r="P2606" s="1" t="str">
        <f t="shared" si="43"/>
        <v>18-10-2023</v>
      </c>
    </row>
    <row r="2607" spans="1:16" x14ac:dyDescent="0.4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  <c r="P2607" s="1" t="str">
        <f t="shared" si="43"/>
        <v>18-10-2023</v>
      </c>
    </row>
    <row r="2608" spans="1:16" x14ac:dyDescent="0.4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  <c r="P2608" s="1" t="str">
        <f t="shared" si="43"/>
        <v>18-10-2023</v>
      </c>
    </row>
    <row r="2609" spans="1:16" x14ac:dyDescent="0.4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  <c r="P2609" s="1" t="str">
        <f t="shared" si="43"/>
        <v>19-10-2023</v>
      </c>
    </row>
    <row r="2610" spans="1:16" x14ac:dyDescent="0.4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  <c r="P2610" s="1" t="str">
        <f t="shared" si="43"/>
        <v>19-10-2023</v>
      </c>
    </row>
    <row r="2611" spans="1:16" x14ac:dyDescent="0.4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  <c r="P2611" s="1" t="str">
        <f t="shared" si="43"/>
        <v>19-10-2023</v>
      </c>
    </row>
    <row r="2612" spans="1:16" x14ac:dyDescent="0.4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  <c r="P2612" s="1" t="str">
        <f t="shared" si="43"/>
        <v>20-10-2023</v>
      </c>
    </row>
    <row r="2613" spans="1:16" x14ac:dyDescent="0.4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  <c r="P2613" s="1" t="str">
        <f t="shared" si="43"/>
        <v>20-10-2023</v>
      </c>
    </row>
    <row r="2614" spans="1:16" x14ac:dyDescent="0.4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  <c r="P2614" s="1" t="str">
        <f t="shared" si="43"/>
        <v>20-10-2023</v>
      </c>
    </row>
    <row r="2615" spans="1:16" x14ac:dyDescent="0.4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  <c r="P2615" s="1" t="str">
        <f t="shared" si="43"/>
        <v>20-10-2023</v>
      </c>
    </row>
    <row r="2616" spans="1:16" x14ac:dyDescent="0.4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  <c r="P2616" s="1" t="str">
        <f t="shared" si="43"/>
        <v>21-10-2023</v>
      </c>
    </row>
    <row r="2617" spans="1:16" x14ac:dyDescent="0.4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  <c r="P2617" s="1" t="str">
        <f t="shared" si="43"/>
        <v>21-10-2023</v>
      </c>
    </row>
    <row r="2618" spans="1:16" x14ac:dyDescent="0.4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  <c r="P2618" s="1" t="str">
        <f t="shared" si="43"/>
        <v>21-10-2023</v>
      </c>
    </row>
    <row r="2619" spans="1:16" x14ac:dyDescent="0.4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  <c r="P2619" s="1" t="str">
        <f t="shared" si="43"/>
        <v>21-10-2023</v>
      </c>
    </row>
    <row r="2620" spans="1:16" x14ac:dyDescent="0.4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  <c r="P2620" s="1" t="str">
        <f t="shared" si="43"/>
        <v>22-10-2023</v>
      </c>
    </row>
    <row r="2621" spans="1:16" x14ac:dyDescent="0.4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  <c r="P2621" s="1" t="str">
        <f t="shared" si="43"/>
        <v>22-10-2023</v>
      </c>
    </row>
    <row r="2622" spans="1:16" x14ac:dyDescent="0.4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  <c r="P2622" s="1" t="str">
        <f t="shared" si="43"/>
        <v>22-10-2023</v>
      </c>
    </row>
    <row r="2623" spans="1:16" x14ac:dyDescent="0.4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  <c r="P2623" s="1" t="str">
        <f t="shared" si="43"/>
        <v>23-10-2023</v>
      </c>
    </row>
    <row r="2624" spans="1:16" x14ac:dyDescent="0.4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  <c r="P2624" s="1" t="str">
        <f t="shared" si="43"/>
        <v>23-10-2023</v>
      </c>
    </row>
    <row r="2625" spans="1:16" x14ac:dyDescent="0.4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  <c r="P2625" s="1" t="str">
        <f t="shared" si="43"/>
        <v>23-10-2023</v>
      </c>
    </row>
    <row r="2626" spans="1:16" x14ac:dyDescent="0.4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  <c r="P2626" s="1" t="str">
        <f t="shared" si="43"/>
        <v>24-10-2023</v>
      </c>
    </row>
    <row r="2627" spans="1:16" x14ac:dyDescent="0.4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  <c r="P2627" s="1" t="str">
        <f t="shared" ref="P2627:P2690" si="44">B2627&amp;"-"&amp;C2627&amp;"-"&amp;D2627</f>
        <v>24-10-2023</v>
      </c>
    </row>
    <row r="2628" spans="1:16" x14ac:dyDescent="0.4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  <c r="P2628" s="1" t="str">
        <f t="shared" si="44"/>
        <v>24-10-2023</v>
      </c>
    </row>
    <row r="2629" spans="1:16" x14ac:dyDescent="0.4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  <c r="P2629" s="1" t="str">
        <f t="shared" si="44"/>
        <v>24-10-2023</v>
      </c>
    </row>
    <row r="2630" spans="1:16" x14ac:dyDescent="0.4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  <c r="P2630" s="1" t="str">
        <f t="shared" si="44"/>
        <v>25-10-2023</v>
      </c>
    </row>
    <row r="2631" spans="1:16" x14ac:dyDescent="0.4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  <c r="P2631" s="1" t="str">
        <f t="shared" si="44"/>
        <v>25-10-2023</v>
      </c>
    </row>
    <row r="2632" spans="1:16" x14ac:dyDescent="0.4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  <c r="P2632" s="1" t="str">
        <f t="shared" si="44"/>
        <v>25-10-2023</v>
      </c>
    </row>
    <row r="2633" spans="1:16" x14ac:dyDescent="0.4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  <c r="P2633" s="1" t="str">
        <f t="shared" si="44"/>
        <v>26-10-2023</v>
      </c>
    </row>
    <row r="2634" spans="1:16" x14ac:dyDescent="0.4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  <c r="P2634" s="1" t="str">
        <f t="shared" si="44"/>
        <v>26-10-2023</v>
      </c>
    </row>
    <row r="2635" spans="1:16" x14ac:dyDescent="0.4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  <c r="P2635" s="1" t="str">
        <f t="shared" si="44"/>
        <v>26-10-2023</v>
      </c>
    </row>
    <row r="2636" spans="1:16" x14ac:dyDescent="0.4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  <c r="P2636" s="1" t="str">
        <f t="shared" si="44"/>
        <v>27-10-2023</v>
      </c>
    </row>
    <row r="2637" spans="1:16" x14ac:dyDescent="0.4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  <c r="P2637" s="1" t="str">
        <f t="shared" si="44"/>
        <v>27-10-2023</v>
      </c>
    </row>
    <row r="2638" spans="1:16" x14ac:dyDescent="0.4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  <c r="P2638" s="1" t="str">
        <f t="shared" si="44"/>
        <v>27-10-2023</v>
      </c>
    </row>
    <row r="2639" spans="1:16" x14ac:dyDescent="0.4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  <c r="P2639" s="1" t="str">
        <f t="shared" si="44"/>
        <v>28-10-2023</v>
      </c>
    </row>
    <row r="2640" spans="1:16" x14ac:dyDescent="0.4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  <c r="P2640" s="1" t="str">
        <f t="shared" si="44"/>
        <v>28-10-2023</v>
      </c>
    </row>
    <row r="2641" spans="1:16" x14ac:dyDescent="0.4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  <c r="P2641" s="1" t="str">
        <f t="shared" si="44"/>
        <v>28-10-2023</v>
      </c>
    </row>
    <row r="2642" spans="1:16" x14ac:dyDescent="0.4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  <c r="P2642" s="1" t="str">
        <f t="shared" si="44"/>
        <v>28-10-2023</v>
      </c>
    </row>
    <row r="2643" spans="1:16" x14ac:dyDescent="0.4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  <c r="P2643" s="1" t="str">
        <f t="shared" si="44"/>
        <v>29-10-2023</v>
      </c>
    </row>
    <row r="2644" spans="1:16" x14ac:dyDescent="0.4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  <c r="P2644" s="1" t="str">
        <f t="shared" si="44"/>
        <v>29-10-2023</v>
      </c>
    </row>
    <row r="2645" spans="1:16" x14ac:dyDescent="0.4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  <c r="P2645" s="1" t="str">
        <f t="shared" si="44"/>
        <v>29-10-2023</v>
      </c>
    </row>
    <row r="2646" spans="1:16" x14ac:dyDescent="0.4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  <c r="P2646" s="1" t="str">
        <f t="shared" si="44"/>
        <v>29-10-2023</v>
      </c>
    </row>
    <row r="2647" spans="1:16" x14ac:dyDescent="0.4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  <c r="P2647" s="1" t="str">
        <f t="shared" si="44"/>
        <v>30-10-2023</v>
      </c>
    </row>
    <row r="2648" spans="1:16" x14ac:dyDescent="0.4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  <c r="P2648" s="1" t="str">
        <f t="shared" si="44"/>
        <v>30-10-2023</v>
      </c>
    </row>
    <row r="2649" spans="1:16" x14ac:dyDescent="0.4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  <c r="P2649" s="1" t="str">
        <f t="shared" si="44"/>
        <v>30-10-2023</v>
      </c>
    </row>
    <row r="2650" spans="1:16" x14ac:dyDescent="0.4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  <c r="P2650" s="1" t="str">
        <f t="shared" si="44"/>
        <v>31-10-2023</v>
      </c>
    </row>
    <row r="2651" spans="1:16" x14ac:dyDescent="0.4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  <c r="P2651" s="1" t="str">
        <f t="shared" si="44"/>
        <v>31-10-2023</v>
      </c>
    </row>
    <row r="2652" spans="1:16" x14ac:dyDescent="0.4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  <c r="P2652" s="1" t="str">
        <f t="shared" si="44"/>
        <v>31-10-2023</v>
      </c>
    </row>
    <row r="2653" spans="1:16" x14ac:dyDescent="0.4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  <c r="P2653" s="1" t="str">
        <f t="shared" si="44"/>
        <v>31-10-2023</v>
      </c>
    </row>
    <row r="2654" spans="1:16" x14ac:dyDescent="0.4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  <c r="P2654" s="1" t="str">
        <f t="shared" si="44"/>
        <v>1-11-2023</v>
      </c>
    </row>
    <row r="2655" spans="1:16" x14ac:dyDescent="0.4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  <c r="P2655" s="1" t="str">
        <f t="shared" si="44"/>
        <v>1-11-2023</v>
      </c>
    </row>
    <row r="2656" spans="1:16" x14ac:dyDescent="0.4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  <c r="P2656" s="1" t="str">
        <f t="shared" si="44"/>
        <v>1-11-2023</v>
      </c>
    </row>
    <row r="2657" spans="1:16" x14ac:dyDescent="0.4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  <c r="P2657" s="1" t="str">
        <f t="shared" si="44"/>
        <v>1-11-2023</v>
      </c>
    </row>
    <row r="2658" spans="1:16" x14ac:dyDescent="0.4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  <c r="P2658" s="1" t="str">
        <f t="shared" si="44"/>
        <v>2-11-2023</v>
      </c>
    </row>
    <row r="2659" spans="1:16" x14ac:dyDescent="0.4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  <c r="P2659" s="1" t="str">
        <f t="shared" si="44"/>
        <v>2-11-2023</v>
      </c>
    </row>
    <row r="2660" spans="1:16" x14ac:dyDescent="0.4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  <c r="P2660" s="1" t="str">
        <f t="shared" si="44"/>
        <v>2-11-2023</v>
      </c>
    </row>
    <row r="2661" spans="1:16" x14ac:dyDescent="0.4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  <c r="P2661" s="1" t="str">
        <f t="shared" si="44"/>
        <v>2-11-2023</v>
      </c>
    </row>
    <row r="2662" spans="1:16" x14ac:dyDescent="0.4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  <c r="P2662" s="1" t="str">
        <f t="shared" si="44"/>
        <v>3-11-2023</v>
      </c>
    </row>
    <row r="2663" spans="1:16" x14ac:dyDescent="0.4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  <c r="P2663" s="1" t="str">
        <f t="shared" si="44"/>
        <v>3-11-2023</v>
      </c>
    </row>
    <row r="2664" spans="1:16" x14ac:dyDescent="0.4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  <c r="P2664" s="1" t="str">
        <f t="shared" si="44"/>
        <v>3-11-2023</v>
      </c>
    </row>
    <row r="2665" spans="1:16" x14ac:dyDescent="0.4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  <c r="P2665" s="1" t="str">
        <f t="shared" si="44"/>
        <v>3-11-2023</v>
      </c>
    </row>
    <row r="2666" spans="1:16" x14ac:dyDescent="0.4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  <c r="P2666" s="1" t="str">
        <f t="shared" si="44"/>
        <v>4-11-2023</v>
      </c>
    </row>
    <row r="2667" spans="1:16" x14ac:dyDescent="0.4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  <c r="P2667" s="1" t="str">
        <f t="shared" si="44"/>
        <v>4-11-2023</v>
      </c>
    </row>
    <row r="2668" spans="1:16" x14ac:dyDescent="0.4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  <c r="P2668" s="1" t="str">
        <f t="shared" si="44"/>
        <v>4-11-2023</v>
      </c>
    </row>
    <row r="2669" spans="1:16" x14ac:dyDescent="0.4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  <c r="P2669" s="1" t="str">
        <f t="shared" si="44"/>
        <v>4-11-2023</v>
      </c>
    </row>
    <row r="2670" spans="1:16" x14ac:dyDescent="0.4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  <c r="P2670" s="1" t="str">
        <f t="shared" si="44"/>
        <v>5-11-2023</v>
      </c>
    </row>
    <row r="2671" spans="1:16" x14ac:dyDescent="0.4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  <c r="P2671" s="1" t="str">
        <f t="shared" si="44"/>
        <v>5-11-2023</v>
      </c>
    </row>
    <row r="2672" spans="1:16" x14ac:dyDescent="0.4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  <c r="P2672" s="1" t="str">
        <f t="shared" si="44"/>
        <v>5-11-2023</v>
      </c>
    </row>
    <row r="2673" spans="1:16" x14ac:dyDescent="0.4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  <c r="P2673" s="1" t="str">
        <f t="shared" si="44"/>
        <v>6-11-2023</v>
      </c>
    </row>
    <row r="2674" spans="1:16" x14ac:dyDescent="0.4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  <c r="P2674" s="1" t="str">
        <f t="shared" si="44"/>
        <v>6-11-2023</v>
      </c>
    </row>
    <row r="2675" spans="1:16" x14ac:dyDescent="0.4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  <c r="P2675" s="1" t="str">
        <f t="shared" si="44"/>
        <v>6-11-2023</v>
      </c>
    </row>
    <row r="2676" spans="1:16" x14ac:dyDescent="0.4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  <c r="P2676" s="1" t="str">
        <f t="shared" si="44"/>
        <v>7-11-2023</v>
      </c>
    </row>
    <row r="2677" spans="1:16" x14ac:dyDescent="0.4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  <c r="P2677" s="1" t="str">
        <f t="shared" si="44"/>
        <v>7-11-2023</v>
      </c>
    </row>
    <row r="2678" spans="1:16" x14ac:dyDescent="0.4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  <c r="P2678" s="1" t="str">
        <f t="shared" si="44"/>
        <v>7-11-2023</v>
      </c>
    </row>
    <row r="2679" spans="1:16" x14ac:dyDescent="0.4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  <c r="P2679" s="1" t="str">
        <f t="shared" si="44"/>
        <v>8-11-2023</v>
      </c>
    </row>
    <row r="2680" spans="1:16" x14ac:dyDescent="0.4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  <c r="P2680" s="1" t="str">
        <f t="shared" si="44"/>
        <v>8-11-2023</v>
      </c>
    </row>
    <row r="2681" spans="1:16" x14ac:dyDescent="0.4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  <c r="P2681" s="1" t="str">
        <f t="shared" si="44"/>
        <v>8-11-2023</v>
      </c>
    </row>
    <row r="2682" spans="1:16" x14ac:dyDescent="0.4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  <c r="P2682" s="1" t="str">
        <f t="shared" si="44"/>
        <v>8-11-2023</v>
      </c>
    </row>
    <row r="2683" spans="1:16" x14ac:dyDescent="0.4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  <c r="P2683" s="1" t="str">
        <f t="shared" si="44"/>
        <v>9-11-2023</v>
      </c>
    </row>
    <row r="2684" spans="1:16" x14ac:dyDescent="0.4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  <c r="P2684" s="1" t="str">
        <f t="shared" si="44"/>
        <v>9-11-2023</v>
      </c>
    </row>
    <row r="2685" spans="1:16" x14ac:dyDescent="0.4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  <c r="P2685" s="1" t="str">
        <f t="shared" si="44"/>
        <v>9-11-2023</v>
      </c>
    </row>
    <row r="2686" spans="1:16" x14ac:dyDescent="0.4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  <c r="P2686" s="1" t="str">
        <f t="shared" si="44"/>
        <v>9-11-2023</v>
      </c>
    </row>
    <row r="2687" spans="1:16" x14ac:dyDescent="0.4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  <c r="P2687" s="1" t="str">
        <f t="shared" si="44"/>
        <v>10-11-2023</v>
      </c>
    </row>
    <row r="2688" spans="1:16" x14ac:dyDescent="0.4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  <c r="P2688" s="1" t="str">
        <f t="shared" si="44"/>
        <v>10-11-2023</v>
      </c>
    </row>
    <row r="2689" spans="1:16" x14ac:dyDescent="0.4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  <c r="P2689" s="1" t="str">
        <f t="shared" si="44"/>
        <v>10-11-2023</v>
      </c>
    </row>
    <row r="2690" spans="1:16" x14ac:dyDescent="0.4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  <c r="P2690" s="1" t="str">
        <f t="shared" si="44"/>
        <v>11-11-2023</v>
      </c>
    </row>
    <row r="2691" spans="1:16" x14ac:dyDescent="0.4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  <c r="P2691" s="1" t="str">
        <f t="shared" ref="P2691:P2754" si="45">B2691&amp;"-"&amp;C2691&amp;"-"&amp;D2691</f>
        <v>11-11-2023</v>
      </c>
    </row>
    <row r="2692" spans="1:16" x14ac:dyDescent="0.4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  <c r="P2692" s="1" t="str">
        <f t="shared" si="45"/>
        <v>11-11-2023</v>
      </c>
    </row>
    <row r="2693" spans="1:16" x14ac:dyDescent="0.4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  <c r="P2693" s="1" t="str">
        <f t="shared" si="45"/>
        <v>11-11-2023</v>
      </c>
    </row>
    <row r="2694" spans="1:16" x14ac:dyDescent="0.4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  <c r="P2694" s="1" t="str">
        <f t="shared" si="45"/>
        <v>12-11-2023</v>
      </c>
    </row>
    <row r="2695" spans="1:16" x14ac:dyDescent="0.4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  <c r="P2695" s="1" t="str">
        <f t="shared" si="45"/>
        <v>12-11-2023</v>
      </c>
    </row>
    <row r="2696" spans="1:16" x14ac:dyDescent="0.4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  <c r="P2696" s="1" t="str">
        <f t="shared" si="45"/>
        <v>12-11-2023</v>
      </c>
    </row>
    <row r="2697" spans="1:16" x14ac:dyDescent="0.4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  <c r="P2697" s="1" t="str">
        <f t="shared" si="45"/>
        <v>13-11-2023</v>
      </c>
    </row>
    <row r="2698" spans="1:16" x14ac:dyDescent="0.4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  <c r="P2698" s="1" t="str">
        <f t="shared" si="45"/>
        <v>13-11-2023</v>
      </c>
    </row>
    <row r="2699" spans="1:16" x14ac:dyDescent="0.4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  <c r="P2699" s="1" t="str">
        <f t="shared" si="45"/>
        <v>13-11-2023</v>
      </c>
    </row>
    <row r="2700" spans="1:16" x14ac:dyDescent="0.4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  <c r="P2700" s="1" t="str">
        <f t="shared" si="45"/>
        <v>14-11-2023</v>
      </c>
    </row>
    <row r="2701" spans="1:16" x14ac:dyDescent="0.4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  <c r="P2701" s="1" t="str">
        <f t="shared" si="45"/>
        <v>14-11-2023</v>
      </c>
    </row>
    <row r="2702" spans="1:16" x14ac:dyDescent="0.4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  <c r="P2702" s="1" t="str">
        <f t="shared" si="45"/>
        <v>14-11-2023</v>
      </c>
    </row>
    <row r="2703" spans="1:16" x14ac:dyDescent="0.4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  <c r="P2703" s="1" t="str">
        <f t="shared" si="45"/>
        <v>15-11-2023</v>
      </c>
    </row>
    <row r="2704" spans="1:16" x14ac:dyDescent="0.4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  <c r="P2704" s="1" t="str">
        <f t="shared" si="45"/>
        <v>15-11-2023</v>
      </c>
    </row>
    <row r="2705" spans="1:16" x14ac:dyDescent="0.4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  <c r="P2705" s="1" t="str">
        <f t="shared" si="45"/>
        <v>15-11-2023</v>
      </c>
    </row>
    <row r="2706" spans="1:16" x14ac:dyDescent="0.4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  <c r="P2706" s="1" t="str">
        <f t="shared" si="45"/>
        <v>15-11-2023</v>
      </c>
    </row>
    <row r="2707" spans="1:16" x14ac:dyDescent="0.4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  <c r="P2707" s="1" t="str">
        <f t="shared" si="45"/>
        <v>16-11-2023</v>
      </c>
    </row>
    <row r="2708" spans="1:16" x14ac:dyDescent="0.4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  <c r="P2708" s="1" t="str">
        <f t="shared" si="45"/>
        <v>16-11-2023</v>
      </c>
    </row>
    <row r="2709" spans="1:16" x14ac:dyDescent="0.4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  <c r="P2709" s="1" t="str">
        <f t="shared" si="45"/>
        <v>16-11-2023</v>
      </c>
    </row>
    <row r="2710" spans="1:16" x14ac:dyDescent="0.4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  <c r="P2710" s="1" t="str">
        <f t="shared" si="45"/>
        <v>16-11-2023</v>
      </c>
    </row>
    <row r="2711" spans="1:16" x14ac:dyDescent="0.4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  <c r="P2711" s="1" t="str">
        <f t="shared" si="45"/>
        <v>17-11-2023</v>
      </c>
    </row>
    <row r="2712" spans="1:16" x14ac:dyDescent="0.4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  <c r="P2712" s="1" t="str">
        <f t="shared" si="45"/>
        <v>17-11-2023</v>
      </c>
    </row>
    <row r="2713" spans="1:16" x14ac:dyDescent="0.4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  <c r="P2713" s="1" t="str">
        <f t="shared" si="45"/>
        <v>17-11-2023</v>
      </c>
    </row>
    <row r="2714" spans="1:16" x14ac:dyDescent="0.4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  <c r="P2714" s="1" t="str">
        <f t="shared" si="45"/>
        <v>18-11-2023</v>
      </c>
    </row>
    <row r="2715" spans="1:16" x14ac:dyDescent="0.4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  <c r="P2715" s="1" t="str">
        <f t="shared" si="45"/>
        <v>18-11-2023</v>
      </c>
    </row>
    <row r="2716" spans="1:16" x14ac:dyDescent="0.4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  <c r="P2716" s="1" t="str">
        <f t="shared" si="45"/>
        <v>18-11-2023</v>
      </c>
    </row>
    <row r="2717" spans="1:16" x14ac:dyDescent="0.4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  <c r="P2717" s="1" t="str">
        <f t="shared" si="45"/>
        <v>19-11-2023</v>
      </c>
    </row>
    <row r="2718" spans="1:16" x14ac:dyDescent="0.4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  <c r="P2718" s="1" t="str">
        <f t="shared" si="45"/>
        <v>19-11-2023</v>
      </c>
    </row>
    <row r="2719" spans="1:16" x14ac:dyDescent="0.4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  <c r="P2719" s="1" t="str">
        <f t="shared" si="45"/>
        <v>19-11-2023</v>
      </c>
    </row>
    <row r="2720" spans="1:16" x14ac:dyDescent="0.4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  <c r="P2720" s="1" t="str">
        <f t="shared" si="45"/>
        <v>20-11-2023</v>
      </c>
    </row>
    <row r="2721" spans="1:16" x14ac:dyDescent="0.4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  <c r="P2721" s="1" t="str">
        <f t="shared" si="45"/>
        <v>20-11-2023</v>
      </c>
    </row>
    <row r="2722" spans="1:16" x14ac:dyDescent="0.4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  <c r="P2722" s="1" t="str">
        <f t="shared" si="45"/>
        <v>20-11-2023</v>
      </c>
    </row>
    <row r="2723" spans="1:16" x14ac:dyDescent="0.4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  <c r="P2723" s="1" t="str">
        <f t="shared" si="45"/>
        <v>21-11-2023</v>
      </c>
    </row>
    <row r="2724" spans="1:16" x14ac:dyDescent="0.4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  <c r="P2724" s="1" t="str">
        <f t="shared" si="45"/>
        <v>21-11-2023</v>
      </c>
    </row>
    <row r="2725" spans="1:16" x14ac:dyDescent="0.4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  <c r="P2725" s="1" t="str">
        <f t="shared" si="45"/>
        <v>21-11-2023</v>
      </c>
    </row>
    <row r="2726" spans="1:16" x14ac:dyDescent="0.4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  <c r="P2726" s="1" t="str">
        <f t="shared" si="45"/>
        <v>21-11-2023</v>
      </c>
    </row>
    <row r="2727" spans="1:16" x14ac:dyDescent="0.4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  <c r="P2727" s="1" t="str">
        <f t="shared" si="45"/>
        <v>22-11-2023</v>
      </c>
    </row>
    <row r="2728" spans="1:16" x14ac:dyDescent="0.4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  <c r="P2728" s="1" t="str">
        <f t="shared" si="45"/>
        <v>22-11-2023</v>
      </c>
    </row>
    <row r="2729" spans="1:16" x14ac:dyDescent="0.4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  <c r="P2729" s="1" t="str">
        <f t="shared" si="45"/>
        <v>22-11-2023</v>
      </c>
    </row>
    <row r="2730" spans="1:16" x14ac:dyDescent="0.4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  <c r="P2730" s="1" t="str">
        <f t="shared" si="45"/>
        <v>22-11-2023</v>
      </c>
    </row>
    <row r="2731" spans="1:16" x14ac:dyDescent="0.4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  <c r="P2731" s="1" t="str">
        <f t="shared" si="45"/>
        <v>23-11-2023</v>
      </c>
    </row>
    <row r="2732" spans="1:16" x14ac:dyDescent="0.4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  <c r="P2732" s="1" t="str">
        <f t="shared" si="45"/>
        <v>23-11-2023</v>
      </c>
    </row>
    <row r="2733" spans="1:16" x14ac:dyDescent="0.4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  <c r="P2733" s="1" t="str">
        <f t="shared" si="45"/>
        <v>23-11-2023</v>
      </c>
    </row>
    <row r="2734" spans="1:16" x14ac:dyDescent="0.4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  <c r="P2734" s="1" t="str">
        <f t="shared" si="45"/>
        <v>24-11-2023</v>
      </c>
    </row>
    <row r="2735" spans="1:16" x14ac:dyDescent="0.4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  <c r="P2735" s="1" t="str">
        <f t="shared" si="45"/>
        <v>24-11-2023</v>
      </c>
    </row>
    <row r="2736" spans="1:16" x14ac:dyDescent="0.4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  <c r="P2736" s="1" t="str">
        <f t="shared" si="45"/>
        <v>24-11-2023</v>
      </c>
    </row>
    <row r="2737" spans="1:16" x14ac:dyDescent="0.4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  <c r="P2737" s="1" t="str">
        <f t="shared" si="45"/>
        <v>25-11-2023</v>
      </c>
    </row>
    <row r="2738" spans="1:16" x14ac:dyDescent="0.4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  <c r="P2738" s="1" t="str">
        <f t="shared" si="45"/>
        <v>25-11-2023</v>
      </c>
    </row>
    <row r="2739" spans="1:16" x14ac:dyDescent="0.4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  <c r="P2739" s="1" t="str">
        <f t="shared" si="45"/>
        <v>25-11-2023</v>
      </c>
    </row>
    <row r="2740" spans="1:16" x14ac:dyDescent="0.4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  <c r="P2740" s="1" t="str">
        <f t="shared" si="45"/>
        <v>25-11-2023</v>
      </c>
    </row>
    <row r="2741" spans="1:16" x14ac:dyDescent="0.4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  <c r="P2741" s="1" t="str">
        <f t="shared" si="45"/>
        <v>26-11-2023</v>
      </c>
    </row>
    <row r="2742" spans="1:16" x14ac:dyDescent="0.4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  <c r="P2742" s="1" t="str">
        <f t="shared" si="45"/>
        <v>26-11-2023</v>
      </c>
    </row>
    <row r="2743" spans="1:16" x14ac:dyDescent="0.4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  <c r="P2743" s="1" t="str">
        <f t="shared" si="45"/>
        <v>26-11-2023</v>
      </c>
    </row>
    <row r="2744" spans="1:16" x14ac:dyDescent="0.4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  <c r="P2744" s="1" t="str">
        <f t="shared" si="45"/>
        <v>26-11-2023</v>
      </c>
    </row>
    <row r="2745" spans="1:16" x14ac:dyDescent="0.4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  <c r="P2745" s="1" t="str">
        <f t="shared" si="45"/>
        <v>27-11-2023</v>
      </c>
    </row>
    <row r="2746" spans="1:16" x14ac:dyDescent="0.4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  <c r="P2746" s="1" t="str">
        <f t="shared" si="45"/>
        <v>27-11-2023</v>
      </c>
    </row>
    <row r="2747" spans="1:16" x14ac:dyDescent="0.4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  <c r="P2747" s="1" t="str">
        <f t="shared" si="45"/>
        <v>27-11-2023</v>
      </c>
    </row>
    <row r="2748" spans="1:16" x14ac:dyDescent="0.4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  <c r="P2748" s="1" t="str">
        <f t="shared" si="45"/>
        <v>28-11-2023</v>
      </c>
    </row>
    <row r="2749" spans="1:16" x14ac:dyDescent="0.4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  <c r="P2749" s="1" t="str">
        <f t="shared" si="45"/>
        <v>28-11-2023</v>
      </c>
    </row>
    <row r="2750" spans="1:16" x14ac:dyDescent="0.4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  <c r="P2750" s="1" t="str">
        <f t="shared" si="45"/>
        <v>28-11-2023</v>
      </c>
    </row>
    <row r="2751" spans="1:16" x14ac:dyDescent="0.4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  <c r="P2751" s="1" t="str">
        <f t="shared" si="45"/>
        <v>29-11-2023</v>
      </c>
    </row>
    <row r="2752" spans="1:16" x14ac:dyDescent="0.4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  <c r="P2752" s="1" t="str">
        <f t="shared" si="45"/>
        <v>29-11-2023</v>
      </c>
    </row>
    <row r="2753" spans="1:16" x14ac:dyDescent="0.4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  <c r="P2753" s="1" t="str">
        <f t="shared" si="45"/>
        <v>29-11-2023</v>
      </c>
    </row>
    <row r="2754" spans="1:16" x14ac:dyDescent="0.4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  <c r="P2754" s="1" t="str">
        <f t="shared" si="45"/>
        <v>30-11-2023</v>
      </c>
    </row>
    <row r="2755" spans="1:16" x14ac:dyDescent="0.4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  <c r="P2755" s="1" t="str">
        <f t="shared" ref="P2755:P2818" si="46">B2755&amp;"-"&amp;C2755&amp;"-"&amp;D2755</f>
        <v>30-11-2023</v>
      </c>
    </row>
    <row r="2756" spans="1:16" x14ac:dyDescent="0.4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  <c r="P2756" s="1" t="str">
        <f t="shared" si="46"/>
        <v>30-11-2023</v>
      </c>
    </row>
    <row r="2757" spans="1:16" x14ac:dyDescent="0.4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  <c r="P2757" s="1" t="str">
        <f t="shared" si="46"/>
        <v>30-11-2023</v>
      </c>
    </row>
    <row r="2758" spans="1:16" x14ac:dyDescent="0.4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  <c r="P2758" s="1" t="str">
        <f t="shared" si="46"/>
        <v>1-12-2023</v>
      </c>
    </row>
    <row r="2759" spans="1:16" x14ac:dyDescent="0.4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  <c r="P2759" s="1" t="str">
        <f t="shared" si="46"/>
        <v>1-12-2023</v>
      </c>
    </row>
    <row r="2760" spans="1:16" x14ac:dyDescent="0.4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  <c r="P2760" s="1" t="str">
        <f t="shared" si="46"/>
        <v>1-12-2023</v>
      </c>
    </row>
    <row r="2761" spans="1:16" x14ac:dyDescent="0.4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  <c r="P2761" s="1" t="str">
        <f t="shared" si="46"/>
        <v>1-12-2023</v>
      </c>
    </row>
    <row r="2762" spans="1:16" x14ac:dyDescent="0.4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  <c r="P2762" s="1" t="str">
        <f t="shared" si="46"/>
        <v>2-12-2023</v>
      </c>
    </row>
    <row r="2763" spans="1:16" x14ac:dyDescent="0.4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  <c r="P2763" s="1" t="str">
        <f t="shared" si="46"/>
        <v>2-12-2023</v>
      </c>
    </row>
    <row r="2764" spans="1:16" x14ac:dyDescent="0.4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  <c r="P2764" s="1" t="str">
        <f t="shared" si="46"/>
        <v>2-12-2023</v>
      </c>
    </row>
    <row r="2765" spans="1:16" x14ac:dyDescent="0.4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  <c r="P2765" s="1" t="str">
        <f t="shared" si="46"/>
        <v>2-12-2023</v>
      </c>
    </row>
    <row r="2766" spans="1:16" x14ac:dyDescent="0.4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  <c r="P2766" s="1" t="str">
        <f t="shared" si="46"/>
        <v>3-12-2023</v>
      </c>
    </row>
    <row r="2767" spans="1:16" x14ac:dyDescent="0.4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  <c r="P2767" s="1" t="str">
        <f t="shared" si="46"/>
        <v>3-12-2023</v>
      </c>
    </row>
    <row r="2768" spans="1:16" x14ac:dyDescent="0.4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  <c r="P2768" s="1" t="str">
        <f t="shared" si="46"/>
        <v>3-12-2023</v>
      </c>
    </row>
    <row r="2769" spans="1:16" x14ac:dyDescent="0.4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  <c r="P2769" s="1" t="str">
        <f t="shared" si="46"/>
        <v>4-12-2023</v>
      </c>
    </row>
    <row r="2770" spans="1:16" x14ac:dyDescent="0.4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  <c r="P2770" s="1" t="str">
        <f t="shared" si="46"/>
        <v>4-12-2023</v>
      </c>
    </row>
    <row r="2771" spans="1:16" x14ac:dyDescent="0.4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  <c r="P2771" s="1" t="str">
        <f t="shared" si="46"/>
        <v>4-12-2023</v>
      </c>
    </row>
    <row r="2772" spans="1:16" x14ac:dyDescent="0.4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  <c r="P2772" s="1" t="str">
        <f t="shared" si="46"/>
        <v>5-12-2023</v>
      </c>
    </row>
    <row r="2773" spans="1:16" x14ac:dyDescent="0.4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  <c r="P2773" s="1" t="str">
        <f t="shared" si="46"/>
        <v>5-12-2023</v>
      </c>
    </row>
    <row r="2774" spans="1:16" x14ac:dyDescent="0.4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  <c r="P2774" s="1" t="str">
        <f t="shared" si="46"/>
        <v>5-12-2023</v>
      </c>
    </row>
    <row r="2775" spans="1:16" x14ac:dyDescent="0.4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  <c r="P2775" s="1" t="str">
        <f t="shared" si="46"/>
        <v>5-12-2023</v>
      </c>
    </row>
    <row r="2776" spans="1:16" x14ac:dyDescent="0.4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  <c r="P2776" s="1" t="str">
        <f t="shared" si="46"/>
        <v>6-12-2023</v>
      </c>
    </row>
    <row r="2777" spans="1:16" x14ac:dyDescent="0.4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  <c r="P2777" s="1" t="str">
        <f t="shared" si="46"/>
        <v>6-12-2023</v>
      </c>
    </row>
    <row r="2778" spans="1:16" x14ac:dyDescent="0.4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  <c r="P2778" s="1" t="str">
        <f t="shared" si="46"/>
        <v>6-12-2023</v>
      </c>
    </row>
    <row r="2779" spans="1:16" x14ac:dyDescent="0.4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  <c r="P2779" s="1" t="str">
        <f t="shared" si="46"/>
        <v>6-12-2023</v>
      </c>
    </row>
    <row r="2780" spans="1:16" x14ac:dyDescent="0.4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  <c r="P2780" s="1" t="str">
        <f t="shared" si="46"/>
        <v>7-12-2023</v>
      </c>
    </row>
    <row r="2781" spans="1:16" x14ac:dyDescent="0.4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  <c r="P2781" s="1" t="str">
        <f t="shared" si="46"/>
        <v>7-12-2023</v>
      </c>
    </row>
    <row r="2782" spans="1:16" x14ac:dyDescent="0.4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  <c r="P2782" s="1" t="str">
        <f t="shared" si="46"/>
        <v>7-12-2023</v>
      </c>
    </row>
    <row r="2783" spans="1:16" x14ac:dyDescent="0.4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  <c r="P2783" s="1" t="str">
        <f t="shared" si="46"/>
        <v>8-12-2023</v>
      </c>
    </row>
    <row r="2784" spans="1:16" x14ac:dyDescent="0.4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  <c r="P2784" s="1" t="str">
        <f t="shared" si="46"/>
        <v>8-12-2023</v>
      </c>
    </row>
    <row r="2785" spans="1:16" x14ac:dyDescent="0.4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  <c r="P2785" s="1" t="str">
        <f t="shared" si="46"/>
        <v>8-12-2023</v>
      </c>
    </row>
    <row r="2786" spans="1:16" x14ac:dyDescent="0.4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  <c r="P2786" s="1" t="str">
        <f t="shared" si="46"/>
        <v>8-12-2023</v>
      </c>
    </row>
    <row r="2787" spans="1:16" x14ac:dyDescent="0.4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  <c r="P2787" s="1" t="str">
        <f t="shared" si="46"/>
        <v>9-12-2023</v>
      </c>
    </row>
    <row r="2788" spans="1:16" x14ac:dyDescent="0.4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  <c r="P2788" s="1" t="str">
        <f t="shared" si="46"/>
        <v>9-12-2023</v>
      </c>
    </row>
    <row r="2789" spans="1:16" x14ac:dyDescent="0.4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  <c r="P2789" s="1" t="str">
        <f t="shared" si="46"/>
        <v>9-12-2023</v>
      </c>
    </row>
    <row r="2790" spans="1:16" x14ac:dyDescent="0.4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  <c r="P2790" s="1" t="str">
        <f t="shared" si="46"/>
        <v>9-12-2023</v>
      </c>
    </row>
    <row r="2791" spans="1:16" x14ac:dyDescent="0.4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  <c r="P2791" s="1" t="str">
        <f t="shared" si="46"/>
        <v>10-12-2023</v>
      </c>
    </row>
    <row r="2792" spans="1:16" x14ac:dyDescent="0.4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  <c r="P2792" s="1" t="str">
        <f t="shared" si="46"/>
        <v>10-12-2023</v>
      </c>
    </row>
    <row r="2793" spans="1:16" x14ac:dyDescent="0.4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  <c r="P2793" s="1" t="str">
        <f t="shared" si="46"/>
        <v>10-12-2023</v>
      </c>
    </row>
    <row r="2794" spans="1:16" x14ac:dyDescent="0.4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  <c r="P2794" s="1" t="str">
        <f t="shared" si="46"/>
        <v>11-12-2023</v>
      </c>
    </row>
    <row r="2795" spans="1:16" x14ac:dyDescent="0.4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  <c r="P2795" s="1" t="str">
        <f t="shared" si="46"/>
        <v>11-12-2023</v>
      </c>
    </row>
    <row r="2796" spans="1:16" x14ac:dyDescent="0.4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  <c r="P2796" s="1" t="str">
        <f t="shared" si="46"/>
        <v>11-12-2023</v>
      </c>
    </row>
    <row r="2797" spans="1:16" x14ac:dyDescent="0.4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  <c r="P2797" s="1" t="str">
        <f t="shared" si="46"/>
        <v>11-12-2023</v>
      </c>
    </row>
    <row r="2798" spans="1:16" x14ac:dyDescent="0.4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  <c r="P2798" s="1" t="str">
        <f t="shared" si="46"/>
        <v>12-12-2023</v>
      </c>
    </row>
    <row r="2799" spans="1:16" x14ac:dyDescent="0.4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  <c r="P2799" s="1" t="str">
        <f t="shared" si="46"/>
        <v>12-12-2023</v>
      </c>
    </row>
    <row r="2800" spans="1:16" x14ac:dyDescent="0.4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  <c r="P2800" s="1" t="str">
        <f t="shared" si="46"/>
        <v>12-12-2023</v>
      </c>
    </row>
    <row r="2801" spans="1:16" x14ac:dyDescent="0.4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  <c r="P2801" s="1" t="str">
        <f t="shared" si="46"/>
        <v>13-12-2023</v>
      </c>
    </row>
    <row r="2802" spans="1:16" x14ac:dyDescent="0.4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  <c r="P2802" s="1" t="str">
        <f t="shared" si="46"/>
        <v>13-12-2023</v>
      </c>
    </row>
    <row r="2803" spans="1:16" x14ac:dyDescent="0.4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  <c r="P2803" s="1" t="str">
        <f t="shared" si="46"/>
        <v>13-12-2023</v>
      </c>
    </row>
    <row r="2804" spans="1:16" x14ac:dyDescent="0.4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  <c r="P2804" s="1" t="str">
        <f t="shared" si="46"/>
        <v>14-12-2023</v>
      </c>
    </row>
    <row r="2805" spans="1:16" x14ac:dyDescent="0.4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  <c r="P2805" s="1" t="str">
        <f t="shared" si="46"/>
        <v>14-12-2023</v>
      </c>
    </row>
    <row r="2806" spans="1:16" x14ac:dyDescent="0.4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  <c r="P2806" s="1" t="str">
        <f t="shared" si="46"/>
        <v>14-12-2023</v>
      </c>
    </row>
    <row r="2807" spans="1:16" x14ac:dyDescent="0.4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  <c r="P2807" s="1" t="str">
        <f t="shared" si="46"/>
        <v>15-12-2023</v>
      </c>
    </row>
    <row r="2808" spans="1:16" x14ac:dyDescent="0.4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  <c r="P2808" s="1" t="str">
        <f t="shared" si="46"/>
        <v>15-12-2023</v>
      </c>
    </row>
    <row r="2809" spans="1:16" x14ac:dyDescent="0.4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  <c r="P2809" s="1" t="str">
        <f t="shared" si="46"/>
        <v>15-12-2023</v>
      </c>
    </row>
    <row r="2810" spans="1:16" x14ac:dyDescent="0.4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  <c r="P2810" s="1" t="str">
        <f t="shared" si="46"/>
        <v>16-12-2023</v>
      </c>
    </row>
    <row r="2811" spans="1:16" x14ac:dyDescent="0.4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  <c r="P2811" s="1" t="str">
        <f t="shared" si="46"/>
        <v>16-12-2023</v>
      </c>
    </row>
    <row r="2812" spans="1:16" x14ac:dyDescent="0.4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  <c r="P2812" s="1" t="str">
        <f t="shared" si="46"/>
        <v>16-12-2023</v>
      </c>
    </row>
    <row r="2813" spans="1:16" x14ac:dyDescent="0.4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  <c r="P2813" s="1" t="str">
        <f t="shared" si="46"/>
        <v>17-12-2023</v>
      </c>
    </row>
    <row r="2814" spans="1:16" x14ac:dyDescent="0.4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  <c r="P2814" s="1" t="str">
        <f t="shared" si="46"/>
        <v>17-12-2023</v>
      </c>
    </row>
    <row r="2815" spans="1:16" x14ac:dyDescent="0.4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  <c r="P2815" s="1" t="str">
        <f t="shared" si="46"/>
        <v>17-12-2023</v>
      </c>
    </row>
    <row r="2816" spans="1:16" x14ac:dyDescent="0.4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  <c r="P2816" s="1" t="str">
        <f t="shared" si="46"/>
        <v>18-12-2023</v>
      </c>
    </row>
    <row r="2817" spans="1:16" x14ac:dyDescent="0.4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  <c r="P2817" s="1" t="str">
        <f t="shared" si="46"/>
        <v>18-12-2023</v>
      </c>
    </row>
    <row r="2818" spans="1:16" x14ac:dyDescent="0.4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  <c r="P2818" s="1" t="str">
        <f t="shared" si="46"/>
        <v>18-12-2023</v>
      </c>
    </row>
    <row r="2819" spans="1:16" x14ac:dyDescent="0.4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  <c r="P2819" s="1" t="str">
        <f t="shared" ref="P2819:P2882" si="47">B2819&amp;"-"&amp;C2819&amp;"-"&amp;D2819</f>
        <v>19-12-2023</v>
      </c>
    </row>
    <row r="2820" spans="1:16" x14ac:dyDescent="0.4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  <c r="P2820" s="1" t="str">
        <f t="shared" si="47"/>
        <v>19-12-2023</v>
      </c>
    </row>
    <row r="2821" spans="1:16" x14ac:dyDescent="0.4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  <c r="P2821" s="1" t="str">
        <f t="shared" si="47"/>
        <v>19-12-2023</v>
      </c>
    </row>
    <row r="2822" spans="1:16" x14ac:dyDescent="0.4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  <c r="P2822" s="1" t="str">
        <f t="shared" si="47"/>
        <v>19-12-2023</v>
      </c>
    </row>
    <row r="2823" spans="1:16" x14ac:dyDescent="0.4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  <c r="P2823" s="1" t="str">
        <f t="shared" si="47"/>
        <v>20-12-2023</v>
      </c>
    </row>
    <row r="2824" spans="1:16" x14ac:dyDescent="0.4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  <c r="P2824" s="1" t="str">
        <f t="shared" si="47"/>
        <v>20-12-2023</v>
      </c>
    </row>
    <row r="2825" spans="1:16" x14ac:dyDescent="0.4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  <c r="P2825" s="1" t="str">
        <f t="shared" si="47"/>
        <v>20-12-2023</v>
      </c>
    </row>
    <row r="2826" spans="1:16" x14ac:dyDescent="0.4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  <c r="P2826" s="1" t="str">
        <f t="shared" si="47"/>
        <v>21-12-2023</v>
      </c>
    </row>
    <row r="2827" spans="1:16" x14ac:dyDescent="0.4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  <c r="P2827" s="1" t="str">
        <f t="shared" si="47"/>
        <v>21-12-2023</v>
      </c>
    </row>
    <row r="2828" spans="1:16" x14ac:dyDescent="0.4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  <c r="P2828" s="1" t="str">
        <f t="shared" si="47"/>
        <v>21-12-2023</v>
      </c>
    </row>
    <row r="2829" spans="1:16" x14ac:dyDescent="0.4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  <c r="P2829" s="1" t="str">
        <f t="shared" si="47"/>
        <v>22-12-2023</v>
      </c>
    </row>
    <row r="2830" spans="1:16" x14ac:dyDescent="0.4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  <c r="P2830" s="1" t="str">
        <f t="shared" si="47"/>
        <v>22-12-2023</v>
      </c>
    </row>
    <row r="2831" spans="1:16" x14ac:dyDescent="0.4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  <c r="P2831" s="1" t="str">
        <f t="shared" si="47"/>
        <v>22-12-2023</v>
      </c>
    </row>
    <row r="2832" spans="1:16" x14ac:dyDescent="0.4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  <c r="P2832" s="1" t="str">
        <f t="shared" si="47"/>
        <v>22-12-2023</v>
      </c>
    </row>
    <row r="2833" spans="1:16" x14ac:dyDescent="0.4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  <c r="P2833" s="1" t="str">
        <f t="shared" si="47"/>
        <v>23-12-2023</v>
      </c>
    </row>
    <row r="2834" spans="1:16" x14ac:dyDescent="0.4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  <c r="P2834" s="1" t="str">
        <f t="shared" si="47"/>
        <v>23-12-2023</v>
      </c>
    </row>
    <row r="2835" spans="1:16" x14ac:dyDescent="0.4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  <c r="P2835" s="1" t="str">
        <f t="shared" si="47"/>
        <v>23-12-2023</v>
      </c>
    </row>
    <row r="2836" spans="1:16" x14ac:dyDescent="0.4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  <c r="P2836" s="1" t="str">
        <f t="shared" si="47"/>
        <v>23-12-2023</v>
      </c>
    </row>
    <row r="2837" spans="1:16" x14ac:dyDescent="0.4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  <c r="P2837" s="1" t="str">
        <f t="shared" si="47"/>
        <v>24-12-2023</v>
      </c>
    </row>
    <row r="2838" spans="1:16" x14ac:dyDescent="0.4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  <c r="P2838" s="1" t="str">
        <f t="shared" si="47"/>
        <v>24-12-2023</v>
      </c>
    </row>
    <row r="2839" spans="1:16" x14ac:dyDescent="0.4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  <c r="P2839" s="1" t="str">
        <f t="shared" si="47"/>
        <v>24-12-2023</v>
      </c>
    </row>
    <row r="2840" spans="1:16" x14ac:dyDescent="0.4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  <c r="P2840" s="1" t="str">
        <f t="shared" si="47"/>
        <v>24-12-2023</v>
      </c>
    </row>
    <row r="2841" spans="1:16" x14ac:dyDescent="0.4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  <c r="P2841" s="1" t="str">
        <f t="shared" si="47"/>
        <v>25-12-2023</v>
      </c>
    </row>
    <row r="2842" spans="1:16" x14ac:dyDescent="0.4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  <c r="P2842" s="1" t="str">
        <f t="shared" si="47"/>
        <v>25-12-2023</v>
      </c>
    </row>
    <row r="2843" spans="1:16" x14ac:dyDescent="0.4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  <c r="P2843" s="1" t="str">
        <f t="shared" si="47"/>
        <v>25-12-2023</v>
      </c>
    </row>
    <row r="2844" spans="1:16" x14ac:dyDescent="0.4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  <c r="P2844" s="1" t="str">
        <f t="shared" si="47"/>
        <v>26-12-2023</v>
      </c>
    </row>
    <row r="2845" spans="1:16" x14ac:dyDescent="0.4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  <c r="P2845" s="1" t="str">
        <f t="shared" si="47"/>
        <v>26-12-2023</v>
      </c>
    </row>
    <row r="2846" spans="1:16" x14ac:dyDescent="0.4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  <c r="P2846" s="1" t="str">
        <f t="shared" si="47"/>
        <v>26-12-2023</v>
      </c>
    </row>
    <row r="2847" spans="1:16" x14ac:dyDescent="0.4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  <c r="P2847" s="1" t="str">
        <f t="shared" si="47"/>
        <v>26-12-2023</v>
      </c>
    </row>
    <row r="2848" spans="1:16" x14ac:dyDescent="0.4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  <c r="P2848" s="1" t="str">
        <f t="shared" si="47"/>
        <v>27-12-2023</v>
      </c>
    </row>
    <row r="2849" spans="1:16" x14ac:dyDescent="0.4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  <c r="P2849" s="1" t="str">
        <f t="shared" si="47"/>
        <v>27-12-2023</v>
      </c>
    </row>
    <row r="2850" spans="1:16" x14ac:dyDescent="0.4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  <c r="P2850" s="1" t="str">
        <f t="shared" si="47"/>
        <v>27-12-2023</v>
      </c>
    </row>
    <row r="2851" spans="1:16" x14ac:dyDescent="0.4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  <c r="P2851" s="1" t="str">
        <f t="shared" si="47"/>
        <v>28-12-2023</v>
      </c>
    </row>
    <row r="2852" spans="1:16" x14ac:dyDescent="0.4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  <c r="P2852" s="1" t="str">
        <f t="shared" si="47"/>
        <v>28-12-2023</v>
      </c>
    </row>
    <row r="2853" spans="1:16" x14ac:dyDescent="0.4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  <c r="P2853" s="1" t="str">
        <f t="shared" si="47"/>
        <v>28-12-2023</v>
      </c>
    </row>
    <row r="2854" spans="1:16" x14ac:dyDescent="0.4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  <c r="P2854" s="1" t="str">
        <f t="shared" si="47"/>
        <v>29-12-2023</v>
      </c>
    </row>
    <row r="2855" spans="1:16" x14ac:dyDescent="0.4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  <c r="P2855" s="1" t="str">
        <f t="shared" si="47"/>
        <v>29-12-2023</v>
      </c>
    </row>
    <row r="2856" spans="1:16" x14ac:dyDescent="0.4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  <c r="P2856" s="1" t="str">
        <f t="shared" si="47"/>
        <v>29-12-2023</v>
      </c>
    </row>
    <row r="2857" spans="1:16" x14ac:dyDescent="0.4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  <c r="P2857" s="1" t="str">
        <f t="shared" si="47"/>
        <v>30-12-2023</v>
      </c>
    </row>
    <row r="2858" spans="1:16" x14ac:dyDescent="0.4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  <c r="P2858" s="1" t="str">
        <f t="shared" si="47"/>
        <v>30-12-2023</v>
      </c>
    </row>
    <row r="2859" spans="1:16" x14ac:dyDescent="0.4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  <c r="P2859" s="1" t="str">
        <f t="shared" si="47"/>
        <v>30-12-2023</v>
      </c>
    </row>
    <row r="2860" spans="1:16" x14ac:dyDescent="0.4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  <c r="P2860" s="1" t="str">
        <f t="shared" si="47"/>
        <v>31-12-2023</v>
      </c>
    </row>
    <row r="2861" spans="1:16" x14ac:dyDescent="0.4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  <c r="P2861" s="1" t="str">
        <f t="shared" si="47"/>
        <v>31-12-2023</v>
      </c>
    </row>
    <row r="2862" spans="1:16" x14ac:dyDescent="0.4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  <c r="P2862" s="1" t="str">
        <f t="shared" si="47"/>
        <v>31-12-2023</v>
      </c>
    </row>
    <row r="2863" spans="1:16" x14ac:dyDescent="0.4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  <c r="P2863" s="1" t="str">
        <f t="shared" si="47"/>
        <v>31-12-2023</v>
      </c>
    </row>
    <row r="2864" spans="1:16" x14ac:dyDescent="0.4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  <c r="P2864" s="1" t="str">
        <f t="shared" si="47"/>
        <v>1-1-2024</v>
      </c>
    </row>
    <row r="2865" spans="1:16" x14ac:dyDescent="0.4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  <c r="P2865" s="1" t="str">
        <f t="shared" si="47"/>
        <v>1-1-2024</v>
      </c>
    </row>
    <row r="2866" spans="1:16" x14ac:dyDescent="0.4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  <c r="P2866" s="1" t="str">
        <f t="shared" si="47"/>
        <v>1-1-2024</v>
      </c>
    </row>
    <row r="2867" spans="1:16" x14ac:dyDescent="0.4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  <c r="P2867" s="1" t="str">
        <f t="shared" si="47"/>
        <v>1-1-2024</v>
      </c>
    </row>
    <row r="2868" spans="1:16" x14ac:dyDescent="0.4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  <c r="P2868" s="1" t="str">
        <f t="shared" si="47"/>
        <v>2-1-2024</v>
      </c>
    </row>
    <row r="2869" spans="1:16" x14ac:dyDescent="0.4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  <c r="P2869" s="1" t="str">
        <f t="shared" si="47"/>
        <v>2-1-2024</v>
      </c>
    </row>
    <row r="2870" spans="1:16" x14ac:dyDescent="0.4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  <c r="P2870" s="1" t="str">
        <f t="shared" si="47"/>
        <v>2-1-2024</v>
      </c>
    </row>
    <row r="2871" spans="1:16" x14ac:dyDescent="0.4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  <c r="P2871" s="1" t="str">
        <f t="shared" si="47"/>
        <v>3-1-2024</v>
      </c>
    </row>
    <row r="2872" spans="1:16" x14ac:dyDescent="0.4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  <c r="P2872" s="1" t="str">
        <f t="shared" si="47"/>
        <v>3-1-2024</v>
      </c>
    </row>
    <row r="2873" spans="1:16" x14ac:dyDescent="0.4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  <c r="P2873" s="1" t="str">
        <f t="shared" si="47"/>
        <v>3-1-2024</v>
      </c>
    </row>
    <row r="2874" spans="1:16" x14ac:dyDescent="0.4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  <c r="P2874" s="1" t="str">
        <f t="shared" si="47"/>
        <v>4-1-2024</v>
      </c>
    </row>
    <row r="2875" spans="1:16" x14ac:dyDescent="0.4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  <c r="P2875" s="1" t="str">
        <f t="shared" si="47"/>
        <v>4-1-2024</v>
      </c>
    </row>
    <row r="2876" spans="1:16" x14ac:dyDescent="0.4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  <c r="P2876" s="1" t="str">
        <f t="shared" si="47"/>
        <v>4-1-2024</v>
      </c>
    </row>
    <row r="2877" spans="1:16" x14ac:dyDescent="0.4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  <c r="P2877" s="1" t="str">
        <f t="shared" si="47"/>
        <v>5-1-2024</v>
      </c>
    </row>
    <row r="2878" spans="1:16" x14ac:dyDescent="0.4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  <c r="P2878" s="1" t="str">
        <f t="shared" si="47"/>
        <v>5-1-2024</v>
      </c>
    </row>
    <row r="2879" spans="1:16" x14ac:dyDescent="0.4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  <c r="P2879" s="1" t="str">
        <f t="shared" si="47"/>
        <v>5-1-2024</v>
      </c>
    </row>
    <row r="2880" spans="1:16" x14ac:dyDescent="0.4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  <c r="P2880" s="1" t="str">
        <f t="shared" si="47"/>
        <v>5-1-2024</v>
      </c>
    </row>
    <row r="2881" spans="1:16" x14ac:dyDescent="0.4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  <c r="P2881" s="1" t="str">
        <f t="shared" si="47"/>
        <v>6-1-2024</v>
      </c>
    </row>
    <row r="2882" spans="1:16" x14ac:dyDescent="0.4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  <c r="P2882" s="1" t="str">
        <f t="shared" si="47"/>
        <v>6-1-2024</v>
      </c>
    </row>
    <row r="2883" spans="1:16" x14ac:dyDescent="0.4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  <c r="P2883" s="1" t="str">
        <f t="shared" ref="P2883:P2946" si="48">B2883&amp;"-"&amp;C2883&amp;"-"&amp;D2883</f>
        <v>6-1-2024</v>
      </c>
    </row>
    <row r="2884" spans="1:16" x14ac:dyDescent="0.4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  <c r="P2884" s="1" t="str">
        <f t="shared" si="48"/>
        <v>7-1-2024</v>
      </c>
    </row>
    <row r="2885" spans="1:16" x14ac:dyDescent="0.4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  <c r="P2885" s="1" t="str">
        <f t="shared" si="48"/>
        <v>7-1-2024</v>
      </c>
    </row>
    <row r="2886" spans="1:16" x14ac:dyDescent="0.4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  <c r="P2886" s="1" t="str">
        <f t="shared" si="48"/>
        <v>7-1-2024</v>
      </c>
    </row>
    <row r="2887" spans="1:16" x14ac:dyDescent="0.4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  <c r="P2887" s="1" t="str">
        <f t="shared" si="48"/>
        <v>8-1-2024</v>
      </c>
    </row>
    <row r="2888" spans="1:16" x14ac:dyDescent="0.4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  <c r="P2888" s="1" t="str">
        <f t="shared" si="48"/>
        <v>8-1-2024</v>
      </c>
    </row>
    <row r="2889" spans="1:16" x14ac:dyDescent="0.4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  <c r="P2889" s="1" t="str">
        <f t="shared" si="48"/>
        <v>8-1-2024</v>
      </c>
    </row>
    <row r="2890" spans="1:16" x14ac:dyDescent="0.4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  <c r="P2890" s="1" t="str">
        <f t="shared" si="48"/>
        <v>8-1-2024</v>
      </c>
    </row>
    <row r="2891" spans="1:16" x14ac:dyDescent="0.4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  <c r="P2891" s="1" t="str">
        <f t="shared" si="48"/>
        <v>9-1-2024</v>
      </c>
    </row>
    <row r="2892" spans="1:16" x14ac:dyDescent="0.4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  <c r="P2892" s="1" t="str">
        <f t="shared" si="48"/>
        <v>9-1-2024</v>
      </c>
    </row>
    <row r="2893" spans="1:16" x14ac:dyDescent="0.4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  <c r="P2893" s="1" t="str">
        <f t="shared" si="48"/>
        <v>9-1-2024</v>
      </c>
    </row>
    <row r="2894" spans="1:16" x14ac:dyDescent="0.4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  <c r="P2894" s="1" t="str">
        <f t="shared" si="48"/>
        <v>9-1-2024</v>
      </c>
    </row>
    <row r="2895" spans="1:16" x14ac:dyDescent="0.4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  <c r="P2895" s="1" t="str">
        <f t="shared" si="48"/>
        <v>10-1-2024</v>
      </c>
    </row>
    <row r="2896" spans="1:16" x14ac:dyDescent="0.4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  <c r="P2896" s="1" t="str">
        <f t="shared" si="48"/>
        <v>10-1-2024</v>
      </c>
    </row>
    <row r="2897" spans="1:16" x14ac:dyDescent="0.4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  <c r="P2897" s="1" t="str">
        <f t="shared" si="48"/>
        <v>10-1-2024</v>
      </c>
    </row>
    <row r="2898" spans="1:16" x14ac:dyDescent="0.4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  <c r="P2898" s="1" t="str">
        <f t="shared" si="48"/>
        <v>11-1-2024</v>
      </c>
    </row>
    <row r="2899" spans="1:16" x14ac:dyDescent="0.4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  <c r="P2899" s="1" t="str">
        <f t="shared" si="48"/>
        <v>11-1-2024</v>
      </c>
    </row>
    <row r="2900" spans="1:16" x14ac:dyDescent="0.4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  <c r="P2900" s="1" t="str">
        <f t="shared" si="48"/>
        <v>11-1-2024</v>
      </c>
    </row>
    <row r="2901" spans="1:16" x14ac:dyDescent="0.4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  <c r="P2901" s="1" t="str">
        <f t="shared" si="48"/>
        <v>11-1-2024</v>
      </c>
    </row>
    <row r="2902" spans="1:16" x14ac:dyDescent="0.4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  <c r="P2902" s="1" t="str">
        <f t="shared" si="48"/>
        <v>12-1-2024</v>
      </c>
    </row>
    <row r="2903" spans="1:16" x14ac:dyDescent="0.4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  <c r="P2903" s="1" t="str">
        <f t="shared" si="48"/>
        <v>12-1-2024</v>
      </c>
    </row>
    <row r="2904" spans="1:16" x14ac:dyDescent="0.4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  <c r="P2904" s="1" t="str">
        <f t="shared" si="48"/>
        <v>12-1-2024</v>
      </c>
    </row>
    <row r="2905" spans="1:16" x14ac:dyDescent="0.4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  <c r="P2905" s="1" t="str">
        <f t="shared" si="48"/>
        <v>12-1-2024</v>
      </c>
    </row>
    <row r="2906" spans="1:16" x14ac:dyDescent="0.4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  <c r="P2906" s="1" t="str">
        <f t="shared" si="48"/>
        <v>13-1-2024</v>
      </c>
    </row>
    <row r="2907" spans="1:16" x14ac:dyDescent="0.4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  <c r="P2907" s="1" t="str">
        <f t="shared" si="48"/>
        <v>13-1-2024</v>
      </c>
    </row>
    <row r="2908" spans="1:16" x14ac:dyDescent="0.4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  <c r="P2908" s="1" t="str">
        <f t="shared" si="48"/>
        <v>13-1-2024</v>
      </c>
    </row>
    <row r="2909" spans="1:16" x14ac:dyDescent="0.4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  <c r="P2909" s="1" t="str">
        <f t="shared" si="48"/>
        <v>14-1-2024</v>
      </c>
    </row>
    <row r="2910" spans="1:16" x14ac:dyDescent="0.4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  <c r="P2910" s="1" t="str">
        <f t="shared" si="48"/>
        <v>14-1-2024</v>
      </c>
    </row>
    <row r="2911" spans="1:16" x14ac:dyDescent="0.4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  <c r="P2911" s="1" t="str">
        <f t="shared" si="48"/>
        <v>14-1-2024</v>
      </c>
    </row>
    <row r="2912" spans="1:16" x14ac:dyDescent="0.4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  <c r="P2912" s="1" t="str">
        <f t="shared" si="48"/>
        <v>14-1-2024</v>
      </c>
    </row>
    <row r="2913" spans="1:16" x14ac:dyDescent="0.4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  <c r="P2913" s="1" t="str">
        <f t="shared" si="48"/>
        <v>15-1-2024</v>
      </c>
    </row>
    <row r="2914" spans="1:16" x14ac:dyDescent="0.4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  <c r="P2914" s="1" t="str">
        <f t="shared" si="48"/>
        <v>15-1-2024</v>
      </c>
    </row>
    <row r="2915" spans="1:16" x14ac:dyDescent="0.4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  <c r="P2915" s="1" t="str">
        <f t="shared" si="48"/>
        <v>15-1-2024</v>
      </c>
    </row>
    <row r="2916" spans="1:16" x14ac:dyDescent="0.4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  <c r="P2916" s="1" t="str">
        <f t="shared" si="48"/>
        <v>16-1-2024</v>
      </c>
    </row>
    <row r="2917" spans="1:16" x14ac:dyDescent="0.4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  <c r="P2917" s="1" t="str">
        <f t="shared" si="48"/>
        <v>16-1-2024</v>
      </c>
    </row>
    <row r="2918" spans="1:16" x14ac:dyDescent="0.4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  <c r="P2918" s="1" t="str">
        <f t="shared" si="48"/>
        <v>16-1-2024</v>
      </c>
    </row>
    <row r="2919" spans="1:16" x14ac:dyDescent="0.4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  <c r="P2919" s="1" t="str">
        <f t="shared" si="48"/>
        <v>16-1-2024</v>
      </c>
    </row>
    <row r="2920" spans="1:16" x14ac:dyDescent="0.4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  <c r="P2920" s="1" t="str">
        <f t="shared" si="48"/>
        <v>17-1-2024</v>
      </c>
    </row>
    <row r="2921" spans="1:16" x14ac:dyDescent="0.4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  <c r="P2921" s="1" t="str">
        <f t="shared" si="48"/>
        <v>17-1-2024</v>
      </c>
    </row>
    <row r="2922" spans="1:16" x14ac:dyDescent="0.4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  <c r="P2922" s="1" t="str">
        <f t="shared" si="48"/>
        <v>17-1-2024</v>
      </c>
    </row>
    <row r="2923" spans="1:16" x14ac:dyDescent="0.4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  <c r="P2923" s="1" t="str">
        <f t="shared" si="48"/>
        <v>18-1-2024</v>
      </c>
    </row>
    <row r="2924" spans="1:16" x14ac:dyDescent="0.4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  <c r="P2924" s="1" t="str">
        <f t="shared" si="48"/>
        <v>18-1-2024</v>
      </c>
    </row>
    <row r="2925" spans="1:16" x14ac:dyDescent="0.4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  <c r="P2925" s="1" t="str">
        <f t="shared" si="48"/>
        <v>18-1-2024</v>
      </c>
    </row>
    <row r="2926" spans="1:16" x14ac:dyDescent="0.4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  <c r="P2926" s="1" t="str">
        <f t="shared" si="48"/>
        <v>19-1-2024</v>
      </c>
    </row>
    <row r="2927" spans="1:16" x14ac:dyDescent="0.4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  <c r="P2927" s="1" t="str">
        <f t="shared" si="48"/>
        <v>19-1-2024</v>
      </c>
    </row>
    <row r="2928" spans="1:16" x14ac:dyDescent="0.4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  <c r="P2928" s="1" t="str">
        <f t="shared" si="48"/>
        <v>19-1-2024</v>
      </c>
    </row>
    <row r="2929" spans="1:16" x14ac:dyDescent="0.4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  <c r="P2929" s="1" t="str">
        <f t="shared" si="48"/>
        <v>20-1-2024</v>
      </c>
    </row>
    <row r="2930" spans="1:16" x14ac:dyDescent="0.4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  <c r="P2930" s="1" t="str">
        <f t="shared" si="48"/>
        <v>20-1-2024</v>
      </c>
    </row>
    <row r="2931" spans="1:16" x14ac:dyDescent="0.4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  <c r="P2931" s="1" t="str">
        <f t="shared" si="48"/>
        <v>20-1-2024</v>
      </c>
    </row>
    <row r="2932" spans="1:16" x14ac:dyDescent="0.4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  <c r="P2932" s="1" t="str">
        <f t="shared" si="48"/>
        <v>20-1-2024</v>
      </c>
    </row>
    <row r="2933" spans="1:16" x14ac:dyDescent="0.4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  <c r="P2933" s="1" t="str">
        <f t="shared" si="48"/>
        <v>21-1-2024</v>
      </c>
    </row>
    <row r="2934" spans="1:16" x14ac:dyDescent="0.4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  <c r="P2934" s="1" t="str">
        <f t="shared" si="48"/>
        <v>21-1-2024</v>
      </c>
    </row>
    <row r="2935" spans="1:16" x14ac:dyDescent="0.4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  <c r="P2935" s="1" t="str">
        <f t="shared" si="48"/>
        <v>21-1-2024</v>
      </c>
    </row>
    <row r="2936" spans="1:16" x14ac:dyDescent="0.4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  <c r="P2936" s="1" t="str">
        <f t="shared" si="48"/>
        <v>22-1-2024</v>
      </c>
    </row>
    <row r="2937" spans="1:16" x14ac:dyDescent="0.4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  <c r="P2937" s="1" t="str">
        <f t="shared" si="48"/>
        <v>22-1-2024</v>
      </c>
    </row>
    <row r="2938" spans="1:16" x14ac:dyDescent="0.4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  <c r="P2938" s="1" t="str">
        <f t="shared" si="48"/>
        <v>22-1-2024</v>
      </c>
    </row>
    <row r="2939" spans="1:16" x14ac:dyDescent="0.4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  <c r="P2939" s="1" t="str">
        <f t="shared" si="48"/>
        <v>22-1-2024</v>
      </c>
    </row>
    <row r="2940" spans="1:16" x14ac:dyDescent="0.4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  <c r="P2940" s="1" t="str">
        <f t="shared" si="48"/>
        <v>23-1-2024</v>
      </c>
    </row>
    <row r="2941" spans="1:16" x14ac:dyDescent="0.4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  <c r="P2941" s="1" t="str">
        <f t="shared" si="48"/>
        <v>23-1-2024</v>
      </c>
    </row>
    <row r="2942" spans="1:16" x14ac:dyDescent="0.4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  <c r="P2942" s="1" t="str">
        <f t="shared" si="48"/>
        <v>23-1-2024</v>
      </c>
    </row>
    <row r="2943" spans="1:16" x14ac:dyDescent="0.4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  <c r="P2943" s="1" t="str">
        <f t="shared" si="48"/>
        <v>24-1-2024</v>
      </c>
    </row>
    <row r="2944" spans="1:16" x14ac:dyDescent="0.4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  <c r="P2944" s="1" t="str">
        <f t="shared" si="48"/>
        <v>24-1-2024</v>
      </c>
    </row>
    <row r="2945" spans="1:16" x14ac:dyDescent="0.4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  <c r="P2945" s="1" t="str">
        <f t="shared" si="48"/>
        <v>24-1-2024</v>
      </c>
    </row>
    <row r="2946" spans="1:16" x14ac:dyDescent="0.4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  <c r="P2946" s="1" t="str">
        <f t="shared" si="48"/>
        <v>25-1-2024</v>
      </c>
    </row>
    <row r="2947" spans="1:16" x14ac:dyDescent="0.4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  <c r="P2947" s="1" t="str">
        <f t="shared" ref="P2947:P3010" si="49">B2947&amp;"-"&amp;C2947&amp;"-"&amp;D2947</f>
        <v>25-1-2024</v>
      </c>
    </row>
    <row r="2948" spans="1:16" x14ac:dyDescent="0.4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  <c r="P2948" s="1" t="str">
        <f t="shared" si="49"/>
        <v>25-1-2024</v>
      </c>
    </row>
    <row r="2949" spans="1:16" x14ac:dyDescent="0.4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  <c r="P2949" s="1" t="str">
        <f t="shared" si="49"/>
        <v>25-1-2024</v>
      </c>
    </row>
    <row r="2950" spans="1:16" x14ac:dyDescent="0.4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  <c r="P2950" s="1" t="str">
        <f t="shared" si="49"/>
        <v>26-1-2024</v>
      </c>
    </row>
    <row r="2951" spans="1:16" x14ac:dyDescent="0.4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  <c r="P2951" s="1" t="str">
        <f t="shared" si="49"/>
        <v>26-1-2024</v>
      </c>
    </row>
    <row r="2952" spans="1:16" x14ac:dyDescent="0.4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  <c r="P2952" s="1" t="str">
        <f t="shared" si="49"/>
        <v>26-1-2024</v>
      </c>
    </row>
    <row r="2953" spans="1:16" x14ac:dyDescent="0.4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  <c r="P2953" s="1" t="str">
        <f t="shared" si="49"/>
        <v>27-1-2024</v>
      </c>
    </row>
    <row r="2954" spans="1:16" x14ac:dyDescent="0.4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  <c r="P2954" s="1" t="str">
        <f t="shared" si="49"/>
        <v>27-1-2024</v>
      </c>
    </row>
    <row r="2955" spans="1:16" x14ac:dyDescent="0.4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  <c r="P2955" s="1" t="str">
        <f t="shared" si="49"/>
        <v>27-1-2024</v>
      </c>
    </row>
    <row r="2956" spans="1:16" x14ac:dyDescent="0.4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  <c r="P2956" s="1" t="str">
        <f t="shared" si="49"/>
        <v>28-1-2024</v>
      </c>
    </row>
    <row r="2957" spans="1:16" x14ac:dyDescent="0.4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  <c r="P2957" s="1" t="str">
        <f t="shared" si="49"/>
        <v>28-1-2024</v>
      </c>
    </row>
    <row r="2958" spans="1:16" x14ac:dyDescent="0.4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  <c r="P2958" s="1" t="str">
        <f t="shared" si="49"/>
        <v>28-1-2024</v>
      </c>
    </row>
    <row r="2959" spans="1:16" x14ac:dyDescent="0.4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  <c r="P2959" s="1" t="str">
        <f t="shared" si="49"/>
        <v>28-1-2024</v>
      </c>
    </row>
    <row r="2960" spans="1:16" x14ac:dyDescent="0.4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  <c r="P2960" s="1" t="str">
        <f t="shared" si="49"/>
        <v>29-1-2024</v>
      </c>
    </row>
    <row r="2961" spans="1:16" x14ac:dyDescent="0.4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  <c r="P2961" s="1" t="str">
        <f t="shared" si="49"/>
        <v>29-1-2024</v>
      </c>
    </row>
    <row r="2962" spans="1:16" x14ac:dyDescent="0.4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  <c r="P2962" s="1" t="str">
        <f t="shared" si="49"/>
        <v>29-1-2024</v>
      </c>
    </row>
    <row r="2963" spans="1:16" x14ac:dyDescent="0.4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  <c r="P2963" s="1" t="str">
        <f t="shared" si="49"/>
        <v>30-1-2024</v>
      </c>
    </row>
    <row r="2964" spans="1:16" x14ac:dyDescent="0.4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  <c r="P2964" s="1" t="str">
        <f t="shared" si="49"/>
        <v>30-1-2024</v>
      </c>
    </row>
    <row r="2965" spans="1:16" x14ac:dyDescent="0.4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  <c r="P2965" s="1" t="str">
        <f t="shared" si="49"/>
        <v>30-1-2024</v>
      </c>
    </row>
    <row r="2966" spans="1:16" x14ac:dyDescent="0.4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  <c r="P2966" s="1" t="str">
        <f t="shared" si="49"/>
        <v>31-1-2024</v>
      </c>
    </row>
    <row r="2967" spans="1:16" x14ac:dyDescent="0.4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  <c r="P2967" s="1" t="str">
        <f t="shared" si="49"/>
        <v>31-1-2024</v>
      </c>
    </row>
    <row r="2968" spans="1:16" x14ac:dyDescent="0.4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  <c r="P2968" s="1" t="str">
        <f t="shared" si="49"/>
        <v>31-1-2024</v>
      </c>
    </row>
    <row r="2969" spans="1:16" x14ac:dyDescent="0.4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  <c r="P2969" s="1" t="str">
        <f t="shared" si="49"/>
        <v>1-2-2024</v>
      </c>
    </row>
    <row r="2970" spans="1:16" x14ac:dyDescent="0.4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  <c r="P2970" s="1" t="str">
        <f t="shared" si="49"/>
        <v>1-2-2024</v>
      </c>
    </row>
    <row r="2971" spans="1:16" x14ac:dyDescent="0.4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  <c r="P2971" s="1" t="str">
        <f t="shared" si="49"/>
        <v>1-2-2024</v>
      </c>
    </row>
    <row r="2972" spans="1:16" x14ac:dyDescent="0.4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  <c r="P2972" s="1" t="str">
        <f t="shared" si="49"/>
        <v>2-2-2024</v>
      </c>
    </row>
    <row r="2973" spans="1:16" x14ac:dyDescent="0.4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  <c r="P2973" s="1" t="str">
        <f t="shared" si="49"/>
        <v>2-2-2024</v>
      </c>
    </row>
    <row r="2974" spans="1:16" x14ac:dyDescent="0.4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  <c r="P2974" s="1" t="str">
        <f t="shared" si="49"/>
        <v>2-2-2024</v>
      </c>
    </row>
    <row r="2975" spans="1:16" x14ac:dyDescent="0.4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  <c r="P2975" s="1" t="str">
        <f t="shared" si="49"/>
        <v>2-2-2024</v>
      </c>
    </row>
    <row r="2976" spans="1:16" x14ac:dyDescent="0.4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  <c r="P2976" s="1" t="str">
        <f t="shared" si="49"/>
        <v>3-2-2024</v>
      </c>
    </row>
    <row r="2977" spans="1:16" x14ac:dyDescent="0.4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  <c r="P2977" s="1" t="str">
        <f t="shared" si="49"/>
        <v>3-2-2024</v>
      </c>
    </row>
    <row r="2978" spans="1:16" x14ac:dyDescent="0.4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  <c r="P2978" s="1" t="str">
        <f t="shared" si="49"/>
        <v>3-2-2024</v>
      </c>
    </row>
    <row r="2979" spans="1:16" x14ac:dyDescent="0.4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  <c r="P2979" s="1" t="str">
        <f t="shared" si="49"/>
        <v>3-2-2024</v>
      </c>
    </row>
    <row r="2980" spans="1:16" x14ac:dyDescent="0.4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  <c r="P2980" s="1" t="str">
        <f t="shared" si="49"/>
        <v>4-2-2024</v>
      </c>
    </row>
    <row r="2981" spans="1:16" x14ac:dyDescent="0.4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  <c r="P2981" s="1" t="str">
        <f t="shared" si="49"/>
        <v>4-2-2024</v>
      </c>
    </row>
    <row r="2982" spans="1:16" x14ac:dyDescent="0.4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  <c r="P2982" s="1" t="str">
        <f t="shared" si="49"/>
        <v>4-2-2024</v>
      </c>
    </row>
    <row r="2983" spans="1:16" x14ac:dyDescent="0.4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  <c r="P2983" s="1" t="str">
        <f t="shared" si="49"/>
        <v>5-2-2024</v>
      </c>
    </row>
    <row r="2984" spans="1:16" x14ac:dyDescent="0.4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  <c r="P2984" s="1" t="str">
        <f t="shared" si="49"/>
        <v>5-2-2024</v>
      </c>
    </row>
    <row r="2985" spans="1:16" x14ac:dyDescent="0.4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  <c r="P2985" s="1" t="str">
        <f t="shared" si="49"/>
        <v>5-2-2024</v>
      </c>
    </row>
    <row r="2986" spans="1:16" x14ac:dyDescent="0.4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  <c r="P2986" s="1" t="str">
        <f t="shared" si="49"/>
        <v>5-2-2024</v>
      </c>
    </row>
    <row r="2987" spans="1:16" x14ac:dyDescent="0.4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  <c r="P2987" s="1" t="str">
        <f t="shared" si="49"/>
        <v>6-2-2024</v>
      </c>
    </row>
    <row r="2988" spans="1:16" x14ac:dyDescent="0.4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  <c r="P2988" s="1" t="str">
        <f t="shared" si="49"/>
        <v>6-2-2024</v>
      </c>
    </row>
    <row r="2989" spans="1:16" x14ac:dyDescent="0.4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  <c r="P2989" s="1" t="str">
        <f t="shared" si="49"/>
        <v>6-2-2024</v>
      </c>
    </row>
    <row r="2990" spans="1:16" x14ac:dyDescent="0.4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  <c r="P2990" s="1" t="str">
        <f t="shared" si="49"/>
        <v>7-2-2024</v>
      </c>
    </row>
    <row r="2991" spans="1:16" x14ac:dyDescent="0.4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  <c r="P2991" s="1" t="str">
        <f t="shared" si="49"/>
        <v>7-2-2024</v>
      </c>
    </row>
    <row r="2992" spans="1:16" x14ac:dyDescent="0.4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  <c r="P2992" s="1" t="str">
        <f t="shared" si="49"/>
        <v>7-2-2024</v>
      </c>
    </row>
    <row r="2993" spans="1:16" x14ac:dyDescent="0.4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  <c r="P2993" s="1" t="str">
        <f t="shared" si="49"/>
        <v>7-2-2024</v>
      </c>
    </row>
    <row r="2994" spans="1:16" x14ac:dyDescent="0.4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  <c r="P2994" s="1" t="str">
        <f t="shared" si="49"/>
        <v>8-2-2024</v>
      </c>
    </row>
    <row r="2995" spans="1:16" x14ac:dyDescent="0.4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  <c r="P2995" s="1" t="str">
        <f t="shared" si="49"/>
        <v>8-2-2024</v>
      </c>
    </row>
    <row r="2996" spans="1:16" x14ac:dyDescent="0.4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  <c r="P2996" s="1" t="str">
        <f t="shared" si="49"/>
        <v>8-2-2024</v>
      </c>
    </row>
    <row r="2997" spans="1:16" x14ac:dyDescent="0.4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  <c r="P2997" s="1" t="str">
        <f t="shared" si="49"/>
        <v>9-2-2024</v>
      </c>
    </row>
    <row r="2998" spans="1:16" x14ac:dyDescent="0.4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  <c r="P2998" s="1" t="str">
        <f t="shared" si="49"/>
        <v>9-2-2024</v>
      </c>
    </row>
    <row r="2999" spans="1:16" x14ac:dyDescent="0.4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  <c r="P2999" s="1" t="str">
        <f t="shared" si="49"/>
        <v>9-2-2024</v>
      </c>
    </row>
    <row r="3000" spans="1:16" x14ac:dyDescent="0.4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  <c r="P3000" s="1" t="str">
        <f t="shared" si="49"/>
        <v>10-2-2024</v>
      </c>
    </row>
    <row r="3001" spans="1:16" x14ac:dyDescent="0.4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  <c r="P3001" s="1" t="str">
        <f t="shared" si="49"/>
        <v>10-2-2024</v>
      </c>
    </row>
    <row r="3002" spans="1:16" x14ac:dyDescent="0.4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  <c r="P3002" s="1" t="str">
        <f t="shared" si="49"/>
        <v>10-2-2024</v>
      </c>
    </row>
    <row r="3003" spans="1:16" x14ac:dyDescent="0.4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  <c r="P3003" s="1" t="str">
        <f t="shared" si="49"/>
        <v>11-2-2024</v>
      </c>
    </row>
    <row r="3004" spans="1:16" x14ac:dyDescent="0.4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  <c r="P3004" s="1" t="str">
        <f t="shared" si="49"/>
        <v>11-2-2024</v>
      </c>
    </row>
    <row r="3005" spans="1:16" x14ac:dyDescent="0.4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  <c r="P3005" s="1" t="str">
        <f t="shared" si="49"/>
        <v>11-2-2024</v>
      </c>
    </row>
    <row r="3006" spans="1:16" x14ac:dyDescent="0.4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  <c r="P3006" s="1" t="str">
        <f t="shared" si="49"/>
        <v>12-2-2024</v>
      </c>
    </row>
    <row r="3007" spans="1:16" x14ac:dyDescent="0.4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  <c r="P3007" s="1" t="str">
        <f t="shared" si="49"/>
        <v>12-2-2024</v>
      </c>
    </row>
    <row r="3008" spans="1:16" x14ac:dyDescent="0.4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  <c r="P3008" s="1" t="str">
        <f t="shared" si="49"/>
        <v>12-2-2024</v>
      </c>
    </row>
    <row r="3009" spans="1:16" x14ac:dyDescent="0.4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  <c r="P3009" s="1" t="str">
        <f t="shared" si="49"/>
        <v>13-2-2024</v>
      </c>
    </row>
    <row r="3010" spans="1:16" x14ac:dyDescent="0.4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  <c r="P3010" s="1" t="str">
        <f t="shared" si="49"/>
        <v>13-2-2024</v>
      </c>
    </row>
    <row r="3011" spans="1:16" x14ac:dyDescent="0.4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  <c r="P3011" s="1" t="str">
        <f t="shared" ref="P3011:P3074" si="50">B3011&amp;"-"&amp;C3011&amp;"-"&amp;D3011</f>
        <v>13-2-2024</v>
      </c>
    </row>
    <row r="3012" spans="1:16" x14ac:dyDescent="0.4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  <c r="P3012" s="1" t="str">
        <f t="shared" si="50"/>
        <v>14-2-2024</v>
      </c>
    </row>
    <row r="3013" spans="1:16" x14ac:dyDescent="0.4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  <c r="P3013" s="1" t="str">
        <f t="shared" si="50"/>
        <v>14-2-2024</v>
      </c>
    </row>
    <row r="3014" spans="1:16" x14ac:dyDescent="0.4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  <c r="P3014" s="1" t="str">
        <f t="shared" si="50"/>
        <v>14-2-2024</v>
      </c>
    </row>
    <row r="3015" spans="1:16" x14ac:dyDescent="0.4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  <c r="P3015" s="1" t="str">
        <f t="shared" si="50"/>
        <v>14-2-2024</v>
      </c>
    </row>
    <row r="3016" spans="1:16" x14ac:dyDescent="0.4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  <c r="P3016" s="1" t="str">
        <f t="shared" si="50"/>
        <v>15-2-2024</v>
      </c>
    </row>
    <row r="3017" spans="1:16" x14ac:dyDescent="0.4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  <c r="P3017" s="1" t="str">
        <f t="shared" si="50"/>
        <v>15-2-2024</v>
      </c>
    </row>
    <row r="3018" spans="1:16" x14ac:dyDescent="0.4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  <c r="P3018" s="1" t="str">
        <f t="shared" si="50"/>
        <v>15-2-2024</v>
      </c>
    </row>
    <row r="3019" spans="1:16" x14ac:dyDescent="0.4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  <c r="P3019" s="1" t="str">
        <f t="shared" si="50"/>
        <v>16-2-2024</v>
      </c>
    </row>
    <row r="3020" spans="1:16" x14ac:dyDescent="0.4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  <c r="P3020" s="1" t="str">
        <f t="shared" si="50"/>
        <v>16-2-2024</v>
      </c>
    </row>
    <row r="3021" spans="1:16" x14ac:dyDescent="0.4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  <c r="P3021" s="1" t="str">
        <f t="shared" si="50"/>
        <v>16-2-2024</v>
      </c>
    </row>
    <row r="3022" spans="1:16" x14ac:dyDescent="0.4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  <c r="P3022" s="1" t="str">
        <f t="shared" si="50"/>
        <v>16-2-2024</v>
      </c>
    </row>
    <row r="3023" spans="1:16" x14ac:dyDescent="0.4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  <c r="P3023" s="1" t="str">
        <f t="shared" si="50"/>
        <v>17-2-2024</v>
      </c>
    </row>
    <row r="3024" spans="1:16" x14ac:dyDescent="0.4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  <c r="P3024" s="1" t="str">
        <f t="shared" si="50"/>
        <v>17-2-2024</v>
      </c>
    </row>
    <row r="3025" spans="1:16" x14ac:dyDescent="0.4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  <c r="P3025" s="1" t="str">
        <f t="shared" si="50"/>
        <v>17-2-2024</v>
      </c>
    </row>
    <row r="3026" spans="1:16" x14ac:dyDescent="0.4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  <c r="P3026" s="1" t="str">
        <f t="shared" si="50"/>
        <v>18-2-2024</v>
      </c>
    </row>
    <row r="3027" spans="1:16" x14ac:dyDescent="0.4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  <c r="P3027" s="1" t="str">
        <f t="shared" si="50"/>
        <v>18-2-2024</v>
      </c>
    </row>
    <row r="3028" spans="1:16" x14ac:dyDescent="0.4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  <c r="P3028" s="1" t="str">
        <f t="shared" si="50"/>
        <v>18-2-2024</v>
      </c>
    </row>
    <row r="3029" spans="1:16" x14ac:dyDescent="0.4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  <c r="P3029" s="1" t="str">
        <f t="shared" si="50"/>
        <v>18-2-2024</v>
      </c>
    </row>
    <row r="3030" spans="1:16" x14ac:dyDescent="0.4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  <c r="P3030" s="1" t="str">
        <f t="shared" si="50"/>
        <v>19-2-2024</v>
      </c>
    </row>
    <row r="3031" spans="1:16" x14ac:dyDescent="0.4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  <c r="P3031" s="1" t="str">
        <f t="shared" si="50"/>
        <v>19-2-2024</v>
      </c>
    </row>
    <row r="3032" spans="1:16" x14ac:dyDescent="0.4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  <c r="P3032" s="1" t="str">
        <f t="shared" si="50"/>
        <v>19-2-2024</v>
      </c>
    </row>
    <row r="3033" spans="1:16" x14ac:dyDescent="0.4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  <c r="P3033" s="1" t="str">
        <f t="shared" si="50"/>
        <v>19-2-2024</v>
      </c>
    </row>
    <row r="3034" spans="1:16" x14ac:dyDescent="0.4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  <c r="P3034" s="1" t="str">
        <f t="shared" si="50"/>
        <v>20-2-2024</v>
      </c>
    </row>
    <row r="3035" spans="1:16" x14ac:dyDescent="0.4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  <c r="P3035" s="1" t="str">
        <f t="shared" si="50"/>
        <v>20-2-2024</v>
      </c>
    </row>
    <row r="3036" spans="1:16" x14ac:dyDescent="0.4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  <c r="P3036" s="1" t="str">
        <f t="shared" si="50"/>
        <v>20-2-2024</v>
      </c>
    </row>
    <row r="3037" spans="1:16" x14ac:dyDescent="0.4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  <c r="P3037" s="1" t="str">
        <f t="shared" si="50"/>
        <v>20-2-2024</v>
      </c>
    </row>
    <row r="3038" spans="1:16" x14ac:dyDescent="0.4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  <c r="P3038" s="1" t="str">
        <f t="shared" si="50"/>
        <v>21-2-2024</v>
      </c>
    </row>
    <row r="3039" spans="1:16" x14ac:dyDescent="0.4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  <c r="P3039" s="1" t="str">
        <f t="shared" si="50"/>
        <v>21-2-2024</v>
      </c>
    </row>
    <row r="3040" spans="1:16" x14ac:dyDescent="0.4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  <c r="P3040" s="1" t="str">
        <f t="shared" si="50"/>
        <v>21-2-2024</v>
      </c>
    </row>
    <row r="3041" spans="1:16" x14ac:dyDescent="0.4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  <c r="P3041" s="1" t="str">
        <f t="shared" si="50"/>
        <v>22-2-2024</v>
      </c>
    </row>
    <row r="3042" spans="1:16" x14ac:dyDescent="0.4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  <c r="P3042" s="1" t="str">
        <f t="shared" si="50"/>
        <v>22-2-2024</v>
      </c>
    </row>
    <row r="3043" spans="1:16" x14ac:dyDescent="0.4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  <c r="P3043" s="1" t="str">
        <f t="shared" si="50"/>
        <v>22-2-2024</v>
      </c>
    </row>
    <row r="3044" spans="1:16" x14ac:dyDescent="0.4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  <c r="P3044" s="1" t="str">
        <f t="shared" si="50"/>
        <v>23-2-2024</v>
      </c>
    </row>
    <row r="3045" spans="1:16" x14ac:dyDescent="0.4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  <c r="P3045" s="1" t="str">
        <f t="shared" si="50"/>
        <v>23-2-2024</v>
      </c>
    </row>
    <row r="3046" spans="1:16" x14ac:dyDescent="0.4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  <c r="P3046" s="1" t="str">
        <f t="shared" si="50"/>
        <v>23-2-2024</v>
      </c>
    </row>
    <row r="3047" spans="1:16" x14ac:dyDescent="0.4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  <c r="P3047" s="1" t="str">
        <f t="shared" si="50"/>
        <v>23-2-2024</v>
      </c>
    </row>
    <row r="3048" spans="1:16" x14ac:dyDescent="0.4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  <c r="P3048" s="1" t="str">
        <f t="shared" si="50"/>
        <v>24-2-2024</v>
      </c>
    </row>
    <row r="3049" spans="1:16" x14ac:dyDescent="0.4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  <c r="P3049" s="1" t="str">
        <f t="shared" si="50"/>
        <v>24-2-2024</v>
      </c>
    </row>
    <row r="3050" spans="1:16" x14ac:dyDescent="0.4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  <c r="P3050" s="1" t="str">
        <f t="shared" si="50"/>
        <v>24-2-2024</v>
      </c>
    </row>
    <row r="3051" spans="1:16" x14ac:dyDescent="0.4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  <c r="P3051" s="1" t="str">
        <f t="shared" si="50"/>
        <v>25-2-2024</v>
      </c>
    </row>
    <row r="3052" spans="1:16" x14ac:dyDescent="0.4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  <c r="P3052" s="1" t="str">
        <f t="shared" si="50"/>
        <v>25-2-2024</v>
      </c>
    </row>
    <row r="3053" spans="1:16" x14ac:dyDescent="0.4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  <c r="P3053" s="1" t="str">
        <f t="shared" si="50"/>
        <v>25-2-2024</v>
      </c>
    </row>
    <row r="3054" spans="1:16" x14ac:dyDescent="0.4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  <c r="P3054" s="1" t="str">
        <f t="shared" si="50"/>
        <v>25-2-2024</v>
      </c>
    </row>
    <row r="3055" spans="1:16" x14ac:dyDescent="0.4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  <c r="P3055" s="1" t="str">
        <f t="shared" si="50"/>
        <v>26-2-2024</v>
      </c>
    </row>
    <row r="3056" spans="1:16" x14ac:dyDescent="0.4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  <c r="P3056" s="1" t="str">
        <f t="shared" si="50"/>
        <v>26-2-2024</v>
      </c>
    </row>
    <row r="3057" spans="1:16" x14ac:dyDescent="0.4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  <c r="P3057" s="1" t="str">
        <f t="shared" si="50"/>
        <v>26-2-2024</v>
      </c>
    </row>
    <row r="3058" spans="1:16" x14ac:dyDescent="0.4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  <c r="P3058" s="1" t="str">
        <f t="shared" si="50"/>
        <v>27-2-2024</v>
      </c>
    </row>
    <row r="3059" spans="1:16" x14ac:dyDescent="0.4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  <c r="P3059" s="1" t="str">
        <f t="shared" si="50"/>
        <v>27-2-2024</v>
      </c>
    </row>
    <row r="3060" spans="1:16" x14ac:dyDescent="0.4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  <c r="P3060" s="1" t="str">
        <f t="shared" si="50"/>
        <v>27-2-2024</v>
      </c>
    </row>
    <row r="3061" spans="1:16" x14ac:dyDescent="0.4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  <c r="P3061" s="1" t="str">
        <f t="shared" si="50"/>
        <v>27-2-2024</v>
      </c>
    </row>
    <row r="3062" spans="1:16" x14ac:dyDescent="0.4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  <c r="P3062" s="1" t="str">
        <f t="shared" si="50"/>
        <v>28-2-2024</v>
      </c>
    </row>
    <row r="3063" spans="1:16" x14ac:dyDescent="0.4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  <c r="P3063" s="1" t="str">
        <f t="shared" si="50"/>
        <v>28-2-2024</v>
      </c>
    </row>
    <row r="3064" spans="1:16" x14ac:dyDescent="0.4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  <c r="P3064" s="1" t="str">
        <f t="shared" si="50"/>
        <v>28-2-2024</v>
      </c>
    </row>
    <row r="3065" spans="1:16" x14ac:dyDescent="0.4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  <c r="P3065" s="1" t="str">
        <f t="shared" si="50"/>
        <v>28-2-2024</v>
      </c>
    </row>
    <row r="3066" spans="1:16" x14ac:dyDescent="0.4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  <c r="P3066" s="1" t="str">
        <f t="shared" si="50"/>
        <v>29-2-2024</v>
      </c>
    </row>
    <row r="3067" spans="1:16" x14ac:dyDescent="0.4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  <c r="P3067" s="1" t="str">
        <f t="shared" si="50"/>
        <v>29-2-2024</v>
      </c>
    </row>
    <row r="3068" spans="1:16" x14ac:dyDescent="0.4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  <c r="P3068" s="1" t="str">
        <f t="shared" si="50"/>
        <v>29-2-2024</v>
      </c>
    </row>
    <row r="3069" spans="1:16" x14ac:dyDescent="0.4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  <c r="P3069" s="1" t="str">
        <f t="shared" si="50"/>
        <v>1-3-2024</v>
      </c>
    </row>
    <row r="3070" spans="1:16" x14ac:dyDescent="0.4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  <c r="P3070" s="1" t="str">
        <f t="shared" si="50"/>
        <v>1-3-2024</v>
      </c>
    </row>
    <row r="3071" spans="1:16" x14ac:dyDescent="0.4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  <c r="P3071" s="1" t="str">
        <f t="shared" si="50"/>
        <v>1-3-2024</v>
      </c>
    </row>
    <row r="3072" spans="1:16" x14ac:dyDescent="0.4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  <c r="P3072" s="1" t="str">
        <f t="shared" si="50"/>
        <v>1-3-2024</v>
      </c>
    </row>
    <row r="3073" spans="1:16" x14ac:dyDescent="0.4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  <c r="P3073" s="1" t="str">
        <f t="shared" si="50"/>
        <v>2-3-2024</v>
      </c>
    </row>
    <row r="3074" spans="1:16" x14ac:dyDescent="0.4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  <c r="P3074" s="1" t="str">
        <f t="shared" si="50"/>
        <v>2-3-2024</v>
      </c>
    </row>
    <row r="3075" spans="1:16" x14ac:dyDescent="0.4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  <c r="P3075" s="1" t="str">
        <f t="shared" ref="P3075:P3138" si="51">B3075&amp;"-"&amp;C3075&amp;"-"&amp;D3075</f>
        <v>2-3-2024</v>
      </c>
    </row>
    <row r="3076" spans="1:16" x14ac:dyDescent="0.4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  <c r="P3076" s="1" t="str">
        <f t="shared" si="51"/>
        <v>3-3-2024</v>
      </c>
    </row>
    <row r="3077" spans="1:16" x14ac:dyDescent="0.4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  <c r="P3077" s="1" t="str">
        <f t="shared" si="51"/>
        <v>3-3-2024</v>
      </c>
    </row>
    <row r="3078" spans="1:16" x14ac:dyDescent="0.4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  <c r="P3078" s="1" t="str">
        <f t="shared" si="51"/>
        <v>3-3-2024</v>
      </c>
    </row>
    <row r="3079" spans="1:16" x14ac:dyDescent="0.4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  <c r="P3079" s="1" t="str">
        <f t="shared" si="51"/>
        <v>3-3-2024</v>
      </c>
    </row>
    <row r="3080" spans="1:16" x14ac:dyDescent="0.4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  <c r="P3080" s="1" t="str">
        <f t="shared" si="51"/>
        <v>4-3-2024</v>
      </c>
    </row>
    <row r="3081" spans="1:16" x14ac:dyDescent="0.4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  <c r="P3081" s="1" t="str">
        <f t="shared" si="51"/>
        <v>4-3-2024</v>
      </c>
    </row>
    <row r="3082" spans="1:16" x14ac:dyDescent="0.4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  <c r="P3082" s="1" t="str">
        <f t="shared" si="51"/>
        <v>4-3-2024</v>
      </c>
    </row>
    <row r="3083" spans="1:16" x14ac:dyDescent="0.4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  <c r="P3083" s="1" t="str">
        <f t="shared" si="51"/>
        <v>4-3-2024</v>
      </c>
    </row>
    <row r="3084" spans="1:16" x14ac:dyDescent="0.4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  <c r="P3084" s="1" t="str">
        <f t="shared" si="51"/>
        <v>5-3-2024</v>
      </c>
    </row>
    <row r="3085" spans="1:16" x14ac:dyDescent="0.4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  <c r="P3085" s="1" t="str">
        <f t="shared" si="51"/>
        <v>5-3-2024</v>
      </c>
    </row>
    <row r="3086" spans="1:16" x14ac:dyDescent="0.4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  <c r="P3086" s="1" t="str">
        <f t="shared" si="51"/>
        <v>5-3-2024</v>
      </c>
    </row>
    <row r="3087" spans="1:16" x14ac:dyDescent="0.4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  <c r="P3087" s="1" t="str">
        <f t="shared" si="51"/>
        <v>6-3-2024</v>
      </c>
    </row>
    <row r="3088" spans="1:16" x14ac:dyDescent="0.4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  <c r="P3088" s="1" t="str">
        <f t="shared" si="51"/>
        <v>6-3-2024</v>
      </c>
    </row>
    <row r="3089" spans="1:16" x14ac:dyDescent="0.4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  <c r="P3089" s="1" t="str">
        <f t="shared" si="51"/>
        <v>6-3-2024</v>
      </c>
    </row>
    <row r="3090" spans="1:16" x14ac:dyDescent="0.4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  <c r="P3090" s="1" t="str">
        <f t="shared" si="51"/>
        <v>7-3-2024</v>
      </c>
    </row>
    <row r="3091" spans="1:16" x14ac:dyDescent="0.4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  <c r="P3091" s="1" t="str">
        <f t="shared" si="51"/>
        <v>7-3-2024</v>
      </c>
    </row>
    <row r="3092" spans="1:16" x14ac:dyDescent="0.4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  <c r="P3092" s="1" t="str">
        <f t="shared" si="51"/>
        <v>7-3-2024</v>
      </c>
    </row>
    <row r="3093" spans="1:16" x14ac:dyDescent="0.4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  <c r="P3093" s="1" t="str">
        <f t="shared" si="51"/>
        <v>8-3-2024</v>
      </c>
    </row>
    <row r="3094" spans="1:16" x14ac:dyDescent="0.4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  <c r="P3094" s="1" t="str">
        <f t="shared" si="51"/>
        <v>8-3-2024</v>
      </c>
    </row>
    <row r="3095" spans="1:16" x14ac:dyDescent="0.4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  <c r="P3095" s="1" t="str">
        <f t="shared" si="51"/>
        <v>8-3-2024</v>
      </c>
    </row>
    <row r="3096" spans="1:16" x14ac:dyDescent="0.4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  <c r="P3096" s="1" t="str">
        <f t="shared" si="51"/>
        <v>8-3-2024</v>
      </c>
    </row>
    <row r="3097" spans="1:16" x14ac:dyDescent="0.4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  <c r="P3097" s="1" t="str">
        <f t="shared" si="51"/>
        <v>9-3-2024</v>
      </c>
    </row>
    <row r="3098" spans="1:16" x14ac:dyDescent="0.4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  <c r="P3098" s="1" t="str">
        <f t="shared" si="51"/>
        <v>9-3-2024</v>
      </c>
    </row>
    <row r="3099" spans="1:16" x14ac:dyDescent="0.4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  <c r="P3099" s="1" t="str">
        <f t="shared" si="51"/>
        <v>9-3-2024</v>
      </c>
    </row>
    <row r="3100" spans="1:16" x14ac:dyDescent="0.4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  <c r="P3100" s="1" t="str">
        <f t="shared" si="51"/>
        <v>10-3-2024</v>
      </c>
    </row>
    <row r="3101" spans="1:16" x14ac:dyDescent="0.4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  <c r="P3101" s="1" t="str">
        <f t="shared" si="51"/>
        <v>10-3-2024</v>
      </c>
    </row>
    <row r="3102" spans="1:16" x14ac:dyDescent="0.4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  <c r="P3102" s="1" t="str">
        <f t="shared" si="51"/>
        <v>10-3-2024</v>
      </c>
    </row>
    <row r="3103" spans="1:16" x14ac:dyDescent="0.4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  <c r="P3103" s="1" t="str">
        <f t="shared" si="51"/>
        <v>10-3-2024</v>
      </c>
    </row>
    <row r="3104" spans="1:16" x14ac:dyDescent="0.4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  <c r="P3104" s="1" t="str">
        <f t="shared" si="51"/>
        <v>11-3-2024</v>
      </c>
    </row>
    <row r="3105" spans="1:16" x14ac:dyDescent="0.4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  <c r="P3105" s="1" t="str">
        <f t="shared" si="51"/>
        <v>11-3-2024</v>
      </c>
    </row>
    <row r="3106" spans="1:16" x14ac:dyDescent="0.4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  <c r="P3106" s="1" t="str">
        <f t="shared" si="51"/>
        <v>11-3-2024</v>
      </c>
    </row>
    <row r="3107" spans="1:16" x14ac:dyDescent="0.4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  <c r="P3107" s="1" t="str">
        <f t="shared" si="51"/>
        <v>11-3-2024</v>
      </c>
    </row>
    <row r="3108" spans="1:16" x14ac:dyDescent="0.4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  <c r="P3108" s="1" t="str">
        <f t="shared" si="51"/>
        <v>12-3-2024</v>
      </c>
    </row>
    <row r="3109" spans="1:16" x14ac:dyDescent="0.4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  <c r="P3109" s="1" t="str">
        <f t="shared" si="51"/>
        <v>12-3-2024</v>
      </c>
    </row>
    <row r="3110" spans="1:16" x14ac:dyDescent="0.4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  <c r="P3110" s="1" t="str">
        <f t="shared" si="51"/>
        <v>12-3-2024</v>
      </c>
    </row>
    <row r="3111" spans="1:16" x14ac:dyDescent="0.4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  <c r="P3111" s="1" t="str">
        <f t="shared" si="51"/>
        <v>13-3-2024</v>
      </c>
    </row>
    <row r="3112" spans="1:16" x14ac:dyDescent="0.4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  <c r="P3112" s="1" t="str">
        <f t="shared" si="51"/>
        <v>13-3-2024</v>
      </c>
    </row>
    <row r="3113" spans="1:16" x14ac:dyDescent="0.4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  <c r="P3113" s="1" t="str">
        <f t="shared" si="51"/>
        <v>13-3-2024</v>
      </c>
    </row>
    <row r="3114" spans="1:16" x14ac:dyDescent="0.4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  <c r="P3114" s="1" t="str">
        <f t="shared" si="51"/>
        <v>14-3-2024</v>
      </c>
    </row>
    <row r="3115" spans="1:16" x14ac:dyDescent="0.4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  <c r="P3115" s="1" t="str">
        <f t="shared" si="51"/>
        <v>14-3-2024</v>
      </c>
    </row>
    <row r="3116" spans="1:16" x14ac:dyDescent="0.4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  <c r="P3116" s="1" t="str">
        <f t="shared" si="51"/>
        <v>14-3-2024</v>
      </c>
    </row>
    <row r="3117" spans="1:16" x14ac:dyDescent="0.4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  <c r="P3117" s="1" t="str">
        <f t="shared" si="51"/>
        <v>14-3-2024</v>
      </c>
    </row>
    <row r="3118" spans="1:16" x14ac:dyDescent="0.4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  <c r="P3118" s="1" t="str">
        <f t="shared" si="51"/>
        <v>15-3-2024</v>
      </c>
    </row>
    <row r="3119" spans="1:16" x14ac:dyDescent="0.4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  <c r="P3119" s="1" t="str">
        <f t="shared" si="51"/>
        <v>15-3-2024</v>
      </c>
    </row>
    <row r="3120" spans="1:16" x14ac:dyDescent="0.4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  <c r="P3120" s="1" t="str">
        <f t="shared" si="51"/>
        <v>15-3-2024</v>
      </c>
    </row>
    <row r="3121" spans="1:16" x14ac:dyDescent="0.4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  <c r="P3121" s="1" t="str">
        <f t="shared" si="51"/>
        <v>15-3-2024</v>
      </c>
    </row>
    <row r="3122" spans="1:16" x14ac:dyDescent="0.4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  <c r="P3122" s="1" t="str">
        <f t="shared" si="51"/>
        <v>16-3-2024</v>
      </c>
    </row>
    <row r="3123" spans="1:16" x14ac:dyDescent="0.4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  <c r="P3123" s="1" t="str">
        <f t="shared" si="51"/>
        <v>16-3-2024</v>
      </c>
    </row>
    <row r="3124" spans="1:16" x14ac:dyDescent="0.4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  <c r="P3124" s="1" t="str">
        <f t="shared" si="51"/>
        <v>16-3-2024</v>
      </c>
    </row>
    <row r="3125" spans="1:16" x14ac:dyDescent="0.4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  <c r="P3125" s="1" t="str">
        <f t="shared" si="51"/>
        <v>17-3-2024</v>
      </c>
    </row>
    <row r="3126" spans="1:16" x14ac:dyDescent="0.4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  <c r="P3126" s="1" t="str">
        <f t="shared" si="51"/>
        <v>17-3-2024</v>
      </c>
    </row>
    <row r="3127" spans="1:16" x14ac:dyDescent="0.4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  <c r="P3127" s="1" t="str">
        <f t="shared" si="51"/>
        <v>17-3-2024</v>
      </c>
    </row>
    <row r="3128" spans="1:16" x14ac:dyDescent="0.4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  <c r="P3128" s="1" t="str">
        <f t="shared" si="51"/>
        <v>18-3-2024</v>
      </c>
    </row>
    <row r="3129" spans="1:16" x14ac:dyDescent="0.4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  <c r="P3129" s="1" t="str">
        <f t="shared" si="51"/>
        <v>18-3-2024</v>
      </c>
    </row>
    <row r="3130" spans="1:16" x14ac:dyDescent="0.4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  <c r="P3130" s="1" t="str">
        <f t="shared" si="51"/>
        <v>18-3-2024</v>
      </c>
    </row>
    <row r="3131" spans="1:16" x14ac:dyDescent="0.4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  <c r="P3131" s="1" t="str">
        <f t="shared" si="51"/>
        <v>19-3-2024</v>
      </c>
    </row>
    <row r="3132" spans="1:16" x14ac:dyDescent="0.4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  <c r="P3132" s="1" t="str">
        <f t="shared" si="51"/>
        <v>19-3-2024</v>
      </c>
    </row>
    <row r="3133" spans="1:16" x14ac:dyDescent="0.4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  <c r="P3133" s="1" t="str">
        <f t="shared" si="51"/>
        <v>19-3-2024</v>
      </c>
    </row>
    <row r="3134" spans="1:16" x14ac:dyDescent="0.4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  <c r="P3134" s="1" t="str">
        <f t="shared" si="51"/>
        <v>20-3-2024</v>
      </c>
    </row>
    <row r="3135" spans="1:16" x14ac:dyDescent="0.4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  <c r="P3135" s="1" t="str">
        <f t="shared" si="51"/>
        <v>20-3-2024</v>
      </c>
    </row>
    <row r="3136" spans="1:16" x14ac:dyDescent="0.4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  <c r="P3136" s="1" t="str">
        <f t="shared" si="51"/>
        <v>20-3-2024</v>
      </c>
    </row>
    <row r="3137" spans="1:16" x14ac:dyDescent="0.4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  <c r="P3137" s="1" t="str">
        <f t="shared" si="51"/>
        <v>21-3-2024</v>
      </c>
    </row>
    <row r="3138" spans="1:16" x14ac:dyDescent="0.4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  <c r="P3138" s="1" t="str">
        <f t="shared" si="51"/>
        <v>21-3-2024</v>
      </c>
    </row>
    <row r="3139" spans="1:16" x14ac:dyDescent="0.4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  <c r="P3139" s="1" t="str">
        <f t="shared" ref="P3139:P3202" si="52">B3139&amp;"-"&amp;C3139&amp;"-"&amp;D3139</f>
        <v>21-3-2024</v>
      </c>
    </row>
    <row r="3140" spans="1:16" x14ac:dyDescent="0.4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  <c r="P3140" s="1" t="str">
        <f t="shared" si="52"/>
        <v>21-3-2024</v>
      </c>
    </row>
    <row r="3141" spans="1:16" x14ac:dyDescent="0.4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  <c r="P3141" s="1" t="str">
        <f t="shared" si="52"/>
        <v>22-3-2024</v>
      </c>
    </row>
    <row r="3142" spans="1:16" x14ac:dyDescent="0.4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  <c r="P3142" s="1" t="str">
        <f t="shared" si="52"/>
        <v>22-3-2024</v>
      </c>
    </row>
    <row r="3143" spans="1:16" x14ac:dyDescent="0.4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  <c r="P3143" s="1" t="str">
        <f t="shared" si="52"/>
        <v>22-3-2024</v>
      </c>
    </row>
    <row r="3144" spans="1:16" x14ac:dyDescent="0.4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  <c r="P3144" s="1" t="str">
        <f t="shared" si="52"/>
        <v>22-3-2024</v>
      </c>
    </row>
    <row r="3145" spans="1:16" x14ac:dyDescent="0.4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  <c r="P3145" s="1" t="str">
        <f t="shared" si="52"/>
        <v>23-3-2024</v>
      </c>
    </row>
    <row r="3146" spans="1:16" x14ac:dyDescent="0.4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  <c r="P3146" s="1" t="str">
        <f t="shared" si="52"/>
        <v>23-3-2024</v>
      </c>
    </row>
    <row r="3147" spans="1:16" x14ac:dyDescent="0.4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  <c r="P3147" s="1" t="str">
        <f t="shared" si="52"/>
        <v>23-3-2024</v>
      </c>
    </row>
    <row r="3148" spans="1:16" x14ac:dyDescent="0.4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  <c r="P3148" s="1" t="str">
        <f t="shared" si="52"/>
        <v>23-3-2024</v>
      </c>
    </row>
    <row r="3149" spans="1:16" x14ac:dyDescent="0.4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  <c r="P3149" s="1" t="str">
        <f t="shared" si="52"/>
        <v>24-3-2024</v>
      </c>
    </row>
    <row r="3150" spans="1:16" x14ac:dyDescent="0.4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  <c r="P3150" s="1" t="str">
        <f t="shared" si="52"/>
        <v>24-3-2024</v>
      </c>
    </row>
    <row r="3151" spans="1:16" x14ac:dyDescent="0.4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  <c r="P3151" s="1" t="str">
        <f t="shared" si="52"/>
        <v>24-3-2024</v>
      </c>
    </row>
    <row r="3152" spans="1:16" x14ac:dyDescent="0.4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  <c r="P3152" s="1" t="str">
        <f t="shared" si="52"/>
        <v>24-3-2024</v>
      </c>
    </row>
    <row r="3153" spans="1:16" x14ac:dyDescent="0.4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  <c r="P3153" s="1" t="str">
        <f t="shared" si="52"/>
        <v>25-3-2024</v>
      </c>
    </row>
    <row r="3154" spans="1:16" x14ac:dyDescent="0.4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  <c r="P3154" s="1" t="str">
        <f t="shared" si="52"/>
        <v>25-3-2024</v>
      </c>
    </row>
    <row r="3155" spans="1:16" x14ac:dyDescent="0.4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  <c r="P3155" s="1" t="str">
        <f t="shared" si="52"/>
        <v>25-3-2024</v>
      </c>
    </row>
    <row r="3156" spans="1:16" x14ac:dyDescent="0.4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  <c r="P3156" s="1" t="str">
        <f t="shared" si="52"/>
        <v>26-3-2024</v>
      </c>
    </row>
    <row r="3157" spans="1:16" x14ac:dyDescent="0.4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  <c r="P3157" s="1" t="str">
        <f t="shared" si="52"/>
        <v>26-3-2024</v>
      </c>
    </row>
    <row r="3158" spans="1:16" x14ac:dyDescent="0.4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  <c r="P3158" s="1" t="str">
        <f t="shared" si="52"/>
        <v>26-3-2024</v>
      </c>
    </row>
    <row r="3159" spans="1:16" x14ac:dyDescent="0.4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  <c r="P3159" s="1" t="str">
        <f t="shared" si="52"/>
        <v>27-3-2024</v>
      </c>
    </row>
    <row r="3160" spans="1:16" x14ac:dyDescent="0.4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  <c r="P3160" s="1" t="str">
        <f t="shared" si="52"/>
        <v>27-3-2024</v>
      </c>
    </row>
    <row r="3161" spans="1:16" x14ac:dyDescent="0.4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  <c r="P3161" s="1" t="str">
        <f t="shared" si="52"/>
        <v>27-3-2024</v>
      </c>
    </row>
    <row r="3162" spans="1:16" x14ac:dyDescent="0.4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  <c r="P3162" s="1" t="str">
        <f t="shared" si="52"/>
        <v>28-3-2024</v>
      </c>
    </row>
    <row r="3163" spans="1:16" x14ac:dyDescent="0.4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  <c r="P3163" s="1" t="str">
        <f t="shared" si="52"/>
        <v>28-3-2024</v>
      </c>
    </row>
    <row r="3164" spans="1:16" x14ac:dyDescent="0.4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  <c r="P3164" s="1" t="str">
        <f t="shared" si="52"/>
        <v>28-3-2024</v>
      </c>
    </row>
    <row r="3165" spans="1:16" x14ac:dyDescent="0.4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  <c r="P3165" s="1" t="str">
        <f t="shared" si="52"/>
        <v>28-3-2024</v>
      </c>
    </row>
    <row r="3166" spans="1:16" x14ac:dyDescent="0.4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  <c r="P3166" s="1" t="str">
        <f t="shared" si="52"/>
        <v>29-3-2024</v>
      </c>
    </row>
    <row r="3167" spans="1:16" x14ac:dyDescent="0.4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  <c r="P3167" s="1" t="str">
        <f t="shared" si="52"/>
        <v>29-3-2024</v>
      </c>
    </row>
    <row r="3168" spans="1:16" x14ac:dyDescent="0.4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  <c r="P3168" s="1" t="str">
        <f t="shared" si="52"/>
        <v>29-3-2024</v>
      </c>
    </row>
    <row r="3169" spans="1:16" x14ac:dyDescent="0.4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  <c r="P3169" s="1" t="str">
        <f t="shared" si="52"/>
        <v>29-3-2024</v>
      </c>
    </row>
    <row r="3170" spans="1:16" x14ac:dyDescent="0.4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  <c r="P3170" s="1" t="str">
        <f t="shared" si="52"/>
        <v>30-3-2024</v>
      </c>
    </row>
    <row r="3171" spans="1:16" x14ac:dyDescent="0.4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  <c r="P3171" s="1" t="str">
        <f t="shared" si="52"/>
        <v>30-3-2024</v>
      </c>
    </row>
    <row r="3172" spans="1:16" x14ac:dyDescent="0.4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  <c r="P3172" s="1" t="str">
        <f t="shared" si="52"/>
        <v>30-3-2024</v>
      </c>
    </row>
    <row r="3173" spans="1:16" x14ac:dyDescent="0.4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  <c r="P3173" s="1" t="str">
        <f t="shared" si="52"/>
        <v>31-3-2024</v>
      </c>
    </row>
    <row r="3174" spans="1:16" x14ac:dyDescent="0.4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  <c r="P3174" s="1" t="str">
        <f t="shared" si="52"/>
        <v>31-3-2024</v>
      </c>
    </row>
    <row r="3175" spans="1:16" x14ac:dyDescent="0.4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  <c r="P3175" s="1" t="str">
        <f t="shared" si="52"/>
        <v>31-3-2024</v>
      </c>
    </row>
    <row r="3176" spans="1:16" x14ac:dyDescent="0.4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  <c r="P3176" s="1" t="str">
        <f t="shared" si="52"/>
        <v>1-4-2024</v>
      </c>
    </row>
    <row r="3177" spans="1:16" x14ac:dyDescent="0.4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  <c r="P3177" s="1" t="str">
        <f t="shared" si="52"/>
        <v>1-4-2024</v>
      </c>
    </row>
    <row r="3178" spans="1:16" x14ac:dyDescent="0.4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  <c r="P3178" s="1" t="str">
        <f t="shared" si="52"/>
        <v>1-4-2024</v>
      </c>
    </row>
    <row r="3179" spans="1:16" x14ac:dyDescent="0.4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  <c r="P3179" s="1" t="str">
        <f t="shared" si="52"/>
        <v>1-4-2024</v>
      </c>
    </row>
    <row r="3180" spans="1:16" x14ac:dyDescent="0.4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  <c r="P3180" s="1" t="str">
        <f t="shared" si="52"/>
        <v>2-4-2024</v>
      </c>
    </row>
    <row r="3181" spans="1:16" x14ac:dyDescent="0.4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  <c r="P3181" s="1" t="str">
        <f t="shared" si="52"/>
        <v>2-4-2024</v>
      </c>
    </row>
    <row r="3182" spans="1:16" x14ac:dyDescent="0.4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  <c r="P3182" s="1" t="str">
        <f t="shared" si="52"/>
        <v>2-4-2024</v>
      </c>
    </row>
    <row r="3183" spans="1:16" x14ac:dyDescent="0.4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  <c r="P3183" s="1" t="str">
        <f t="shared" si="52"/>
        <v>2-4-2024</v>
      </c>
    </row>
    <row r="3184" spans="1:16" x14ac:dyDescent="0.4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  <c r="P3184" s="1" t="str">
        <f t="shared" si="52"/>
        <v>3-4-2024</v>
      </c>
    </row>
    <row r="3185" spans="1:16" x14ac:dyDescent="0.4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  <c r="P3185" s="1" t="str">
        <f t="shared" si="52"/>
        <v>3-4-2024</v>
      </c>
    </row>
    <row r="3186" spans="1:16" x14ac:dyDescent="0.4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  <c r="P3186" s="1" t="str">
        <f t="shared" si="52"/>
        <v>3-4-2024</v>
      </c>
    </row>
    <row r="3187" spans="1:16" x14ac:dyDescent="0.4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  <c r="P3187" s="1" t="str">
        <f t="shared" si="52"/>
        <v>4-4-2024</v>
      </c>
    </row>
    <row r="3188" spans="1:16" x14ac:dyDescent="0.4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  <c r="P3188" s="1" t="str">
        <f t="shared" si="52"/>
        <v>4-4-2024</v>
      </c>
    </row>
    <row r="3189" spans="1:16" x14ac:dyDescent="0.4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  <c r="P3189" s="1" t="str">
        <f t="shared" si="52"/>
        <v>4-4-2024</v>
      </c>
    </row>
    <row r="3190" spans="1:16" x14ac:dyDescent="0.4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  <c r="P3190" s="1" t="str">
        <f t="shared" si="52"/>
        <v>5-4-2024</v>
      </c>
    </row>
    <row r="3191" spans="1:16" x14ac:dyDescent="0.4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  <c r="P3191" s="1" t="str">
        <f t="shared" si="52"/>
        <v>5-4-2024</v>
      </c>
    </row>
    <row r="3192" spans="1:16" x14ac:dyDescent="0.4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  <c r="P3192" s="1" t="str">
        <f t="shared" si="52"/>
        <v>5-4-2024</v>
      </c>
    </row>
    <row r="3193" spans="1:16" x14ac:dyDescent="0.4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  <c r="P3193" s="1" t="str">
        <f t="shared" si="52"/>
        <v>5-4-2024</v>
      </c>
    </row>
    <row r="3194" spans="1:16" x14ac:dyDescent="0.4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  <c r="P3194" s="1" t="str">
        <f t="shared" si="52"/>
        <v>6-4-2024</v>
      </c>
    </row>
    <row r="3195" spans="1:16" x14ac:dyDescent="0.4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  <c r="P3195" s="1" t="str">
        <f t="shared" si="52"/>
        <v>6-4-2024</v>
      </c>
    </row>
    <row r="3196" spans="1:16" x14ac:dyDescent="0.4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  <c r="P3196" s="1" t="str">
        <f t="shared" si="52"/>
        <v>6-4-2024</v>
      </c>
    </row>
    <row r="3197" spans="1:16" x14ac:dyDescent="0.4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  <c r="P3197" s="1" t="str">
        <f t="shared" si="52"/>
        <v>7-4-2024</v>
      </c>
    </row>
    <row r="3198" spans="1:16" x14ac:dyDescent="0.4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  <c r="P3198" s="1" t="str">
        <f t="shared" si="52"/>
        <v>7-4-2024</v>
      </c>
    </row>
    <row r="3199" spans="1:16" x14ac:dyDescent="0.4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  <c r="P3199" s="1" t="str">
        <f t="shared" si="52"/>
        <v>7-4-2024</v>
      </c>
    </row>
    <row r="3200" spans="1:16" x14ac:dyDescent="0.4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  <c r="P3200" s="1" t="str">
        <f t="shared" si="52"/>
        <v>8-4-2024</v>
      </c>
    </row>
    <row r="3201" spans="1:16" x14ac:dyDescent="0.4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  <c r="P3201" s="1" t="str">
        <f t="shared" si="52"/>
        <v>8-4-2024</v>
      </c>
    </row>
    <row r="3202" spans="1:16" x14ac:dyDescent="0.4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  <c r="P3202" s="1" t="str">
        <f t="shared" si="52"/>
        <v>8-4-2024</v>
      </c>
    </row>
    <row r="3203" spans="1:16" x14ac:dyDescent="0.4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  <c r="P3203" s="1" t="str">
        <f t="shared" ref="P3203:P3266" si="53">B3203&amp;"-"&amp;C3203&amp;"-"&amp;D3203</f>
        <v>9-4-2024</v>
      </c>
    </row>
    <row r="3204" spans="1:16" x14ac:dyDescent="0.4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  <c r="P3204" s="1" t="str">
        <f t="shared" si="53"/>
        <v>9-4-2024</v>
      </c>
    </row>
    <row r="3205" spans="1:16" x14ac:dyDescent="0.4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  <c r="P3205" s="1" t="str">
        <f t="shared" si="53"/>
        <v>9-4-2024</v>
      </c>
    </row>
    <row r="3206" spans="1:16" x14ac:dyDescent="0.4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  <c r="P3206" s="1" t="str">
        <f t="shared" si="53"/>
        <v>9-4-2024</v>
      </c>
    </row>
    <row r="3207" spans="1:16" x14ac:dyDescent="0.4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  <c r="P3207" s="1" t="str">
        <f t="shared" si="53"/>
        <v>10-4-2024</v>
      </c>
    </row>
    <row r="3208" spans="1:16" x14ac:dyDescent="0.4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  <c r="P3208" s="1" t="str">
        <f t="shared" si="53"/>
        <v>10-4-2024</v>
      </c>
    </row>
    <row r="3209" spans="1:16" x14ac:dyDescent="0.4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  <c r="P3209" s="1" t="str">
        <f t="shared" si="53"/>
        <v>10-4-2024</v>
      </c>
    </row>
    <row r="3210" spans="1:16" x14ac:dyDescent="0.4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  <c r="P3210" s="1" t="str">
        <f t="shared" si="53"/>
        <v>10-4-2024</v>
      </c>
    </row>
    <row r="3211" spans="1:16" x14ac:dyDescent="0.4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  <c r="P3211" s="1" t="str">
        <f t="shared" si="53"/>
        <v>11-4-2024</v>
      </c>
    </row>
    <row r="3212" spans="1:16" x14ac:dyDescent="0.4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  <c r="P3212" s="1" t="str">
        <f t="shared" si="53"/>
        <v>11-4-2024</v>
      </c>
    </row>
    <row r="3213" spans="1:16" x14ac:dyDescent="0.4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  <c r="P3213" s="1" t="str">
        <f t="shared" si="53"/>
        <v>11-4-2024</v>
      </c>
    </row>
    <row r="3214" spans="1:16" x14ac:dyDescent="0.4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  <c r="P3214" s="1" t="str">
        <f t="shared" si="53"/>
        <v>11-4-2024</v>
      </c>
    </row>
    <row r="3215" spans="1:16" x14ac:dyDescent="0.4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  <c r="P3215" s="1" t="str">
        <f t="shared" si="53"/>
        <v>12-4-2024</v>
      </c>
    </row>
    <row r="3216" spans="1:16" x14ac:dyDescent="0.4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  <c r="P3216" s="1" t="str">
        <f t="shared" si="53"/>
        <v>12-4-2024</v>
      </c>
    </row>
    <row r="3217" spans="1:16" x14ac:dyDescent="0.4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  <c r="P3217" s="1" t="str">
        <f t="shared" si="53"/>
        <v>12-4-2024</v>
      </c>
    </row>
    <row r="3218" spans="1:16" x14ac:dyDescent="0.4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  <c r="P3218" s="1" t="str">
        <f t="shared" si="53"/>
        <v>12-4-2024</v>
      </c>
    </row>
    <row r="3219" spans="1:16" x14ac:dyDescent="0.4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  <c r="P3219" s="1" t="str">
        <f t="shared" si="53"/>
        <v>13-4-2024</v>
      </c>
    </row>
    <row r="3220" spans="1:16" x14ac:dyDescent="0.4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  <c r="P3220" s="1" t="str">
        <f t="shared" si="53"/>
        <v>13-4-2024</v>
      </c>
    </row>
    <row r="3221" spans="1:16" x14ac:dyDescent="0.4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  <c r="P3221" s="1" t="str">
        <f t="shared" si="53"/>
        <v>13-4-2024</v>
      </c>
    </row>
    <row r="3222" spans="1:16" x14ac:dyDescent="0.4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  <c r="P3222" s="1" t="str">
        <f t="shared" si="53"/>
        <v>13-4-2024</v>
      </c>
    </row>
    <row r="3223" spans="1:16" x14ac:dyDescent="0.4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  <c r="P3223" s="1" t="str">
        <f t="shared" si="53"/>
        <v>14-4-2024</v>
      </c>
    </row>
    <row r="3224" spans="1:16" x14ac:dyDescent="0.4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  <c r="P3224" s="1" t="str">
        <f t="shared" si="53"/>
        <v>14-4-2024</v>
      </c>
    </row>
    <row r="3225" spans="1:16" x14ac:dyDescent="0.4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  <c r="P3225" s="1" t="str">
        <f t="shared" si="53"/>
        <v>14-4-2024</v>
      </c>
    </row>
    <row r="3226" spans="1:16" x14ac:dyDescent="0.4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  <c r="P3226" s="1" t="str">
        <f t="shared" si="53"/>
        <v>14-4-2024</v>
      </c>
    </row>
    <row r="3227" spans="1:16" x14ac:dyDescent="0.4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  <c r="P3227" s="1" t="str">
        <f t="shared" si="53"/>
        <v>15-4-2024</v>
      </c>
    </row>
    <row r="3228" spans="1:16" x14ac:dyDescent="0.4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  <c r="P3228" s="1" t="str">
        <f t="shared" si="53"/>
        <v>15-4-2024</v>
      </c>
    </row>
    <row r="3229" spans="1:16" x14ac:dyDescent="0.4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  <c r="P3229" s="1" t="str">
        <f t="shared" si="53"/>
        <v>15-4-2024</v>
      </c>
    </row>
    <row r="3230" spans="1:16" x14ac:dyDescent="0.4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  <c r="P3230" s="1" t="str">
        <f t="shared" si="53"/>
        <v>15-4-2024</v>
      </c>
    </row>
    <row r="3231" spans="1:16" x14ac:dyDescent="0.4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  <c r="P3231" s="1" t="str">
        <f t="shared" si="53"/>
        <v>16-4-2024</v>
      </c>
    </row>
    <row r="3232" spans="1:16" x14ac:dyDescent="0.4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  <c r="P3232" s="1" t="str">
        <f t="shared" si="53"/>
        <v>16-4-2024</v>
      </c>
    </row>
    <row r="3233" spans="1:16" x14ac:dyDescent="0.4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  <c r="P3233" s="1" t="str">
        <f t="shared" si="53"/>
        <v>16-4-2024</v>
      </c>
    </row>
    <row r="3234" spans="1:16" x14ac:dyDescent="0.4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  <c r="P3234" s="1" t="str">
        <f t="shared" si="53"/>
        <v>17-4-2024</v>
      </c>
    </row>
    <row r="3235" spans="1:16" x14ac:dyDescent="0.4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  <c r="P3235" s="1" t="str">
        <f t="shared" si="53"/>
        <v>17-4-2024</v>
      </c>
    </row>
    <row r="3236" spans="1:16" x14ac:dyDescent="0.4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  <c r="P3236" s="1" t="str">
        <f t="shared" si="53"/>
        <v>17-4-2024</v>
      </c>
    </row>
    <row r="3237" spans="1:16" x14ac:dyDescent="0.4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  <c r="P3237" s="1" t="str">
        <f t="shared" si="53"/>
        <v>18-4-2024</v>
      </c>
    </row>
    <row r="3238" spans="1:16" x14ac:dyDescent="0.4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  <c r="P3238" s="1" t="str">
        <f t="shared" si="53"/>
        <v>18-4-2024</v>
      </c>
    </row>
    <row r="3239" spans="1:16" x14ac:dyDescent="0.4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  <c r="P3239" s="1" t="str">
        <f t="shared" si="53"/>
        <v>18-4-2024</v>
      </c>
    </row>
    <row r="3240" spans="1:16" x14ac:dyDescent="0.4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  <c r="P3240" s="1" t="str">
        <f t="shared" si="53"/>
        <v>19-4-2024</v>
      </c>
    </row>
    <row r="3241" spans="1:16" x14ac:dyDescent="0.4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  <c r="P3241" s="1" t="str">
        <f t="shared" si="53"/>
        <v>19-4-2024</v>
      </c>
    </row>
    <row r="3242" spans="1:16" x14ac:dyDescent="0.4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  <c r="P3242" s="1" t="str">
        <f t="shared" si="53"/>
        <v>19-4-2024</v>
      </c>
    </row>
    <row r="3243" spans="1:16" x14ac:dyDescent="0.4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  <c r="P3243" s="1" t="str">
        <f t="shared" si="53"/>
        <v>20-4-2024</v>
      </c>
    </row>
    <row r="3244" spans="1:16" x14ac:dyDescent="0.4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  <c r="P3244" s="1" t="str">
        <f t="shared" si="53"/>
        <v>20-4-2024</v>
      </c>
    </row>
    <row r="3245" spans="1:16" x14ac:dyDescent="0.4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  <c r="P3245" s="1" t="str">
        <f t="shared" si="53"/>
        <v>20-4-2024</v>
      </c>
    </row>
    <row r="3246" spans="1:16" x14ac:dyDescent="0.4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  <c r="P3246" s="1" t="str">
        <f t="shared" si="53"/>
        <v>21-4-2024</v>
      </c>
    </row>
    <row r="3247" spans="1:16" x14ac:dyDescent="0.4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  <c r="P3247" s="1" t="str">
        <f t="shared" si="53"/>
        <v>21-4-2024</v>
      </c>
    </row>
    <row r="3248" spans="1:16" x14ac:dyDescent="0.4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  <c r="P3248" s="1" t="str">
        <f t="shared" si="53"/>
        <v>21-4-2024</v>
      </c>
    </row>
    <row r="3249" spans="1:16" x14ac:dyDescent="0.4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  <c r="P3249" s="1" t="str">
        <f t="shared" si="53"/>
        <v>22-4-2024</v>
      </c>
    </row>
    <row r="3250" spans="1:16" x14ac:dyDescent="0.4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  <c r="P3250" s="1" t="str">
        <f t="shared" si="53"/>
        <v>22-4-2024</v>
      </c>
    </row>
    <row r="3251" spans="1:16" x14ac:dyDescent="0.4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  <c r="P3251" s="1" t="str">
        <f t="shared" si="53"/>
        <v>22-4-2024</v>
      </c>
    </row>
    <row r="3252" spans="1:16" x14ac:dyDescent="0.4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  <c r="P3252" s="1" t="str">
        <f t="shared" si="53"/>
        <v>23-4-2024</v>
      </c>
    </row>
    <row r="3253" spans="1:16" x14ac:dyDescent="0.4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  <c r="P3253" s="1" t="str">
        <f t="shared" si="53"/>
        <v>23-4-2024</v>
      </c>
    </row>
    <row r="3254" spans="1:16" x14ac:dyDescent="0.4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  <c r="P3254" s="1" t="str">
        <f t="shared" si="53"/>
        <v>23-4-2024</v>
      </c>
    </row>
    <row r="3255" spans="1:16" x14ac:dyDescent="0.4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  <c r="P3255" s="1" t="str">
        <f t="shared" si="53"/>
        <v>23-4-2024</v>
      </c>
    </row>
    <row r="3256" spans="1:16" x14ac:dyDescent="0.4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  <c r="P3256" s="1" t="str">
        <f t="shared" si="53"/>
        <v>24-4-2024</v>
      </c>
    </row>
    <row r="3257" spans="1:16" x14ac:dyDescent="0.4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  <c r="P3257" s="1" t="str">
        <f t="shared" si="53"/>
        <v>24-4-2024</v>
      </c>
    </row>
    <row r="3258" spans="1:16" x14ac:dyDescent="0.4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  <c r="P3258" s="1" t="str">
        <f t="shared" si="53"/>
        <v>24-4-2024</v>
      </c>
    </row>
    <row r="3259" spans="1:16" x14ac:dyDescent="0.4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  <c r="P3259" s="1" t="str">
        <f t="shared" si="53"/>
        <v>24-4-2024</v>
      </c>
    </row>
    <row r="3260" spans="1:16" x14ac:dyDescent="0.4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  <c r="P3260" s="1" t="str">
        <f t="shared" si="53"/>
        <v>25-4-2024</v>
      </c>
    </row>
    <row r="3261" spans="1:16" x14ac:dyDescent="0.4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  <c r="P3261" s="1" t="str">
        <f t="shared" si="53"/>
        <v>25-4-2024</v>
      </c>
    </row>
    <row r="3262" spans="1:16" x14ac:dyDescent="0.4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  <c r="P3262" s="1" t="str">
        <f t="shared" si="53"/>
        <v>25-4-2024</v>
      </c>
    </row>
    <row r="3263" spans="1:16" x14ac:dyDescent="0.4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  <c r="P3263" s="1" t="str">
        <f t="shared" si="53"/>
        <v>26-4-2024</v>
      </c>
    </row>
    <row r="3264" spans="1:16" x14ac:dyDescent="0.4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  <c r="P3264" s="1" t="str">
        <f t="shared" si="53"/>
        <v>26-4-2024</v>
      </c>
    </row>
    <row r="3265" spans="1:16" x14ac:dyDescent="0.4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  <c r="P3265" s="1" t="str">
        <f t="shared" si="53"/>
        <v>26-4-2024</v>
      </c>
    </row>
    <row r="3266" spans="1:16" x14ac:dyDescent="0.4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  <c r="P3266" s="1" t="str">
        <f t="shared" si="53"/>
        <v>27-4-2024</v>
      </c>
    </row>
    <row r="3267" spans="1:16" x14ac:dyDescent="0.4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  <c r="P3267" s="1" t="str">
        <f t="shared" ref="P3267:P3330" si="54">B3267&amp;"-"&amp;C3267&amp;"-"&amp;D3267</f>
        <v>27-4-2024</v>
      </c>
    </row>
    <row r="3268" spans="1:16" x14ac:dyDescent="0.4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  <c r="P3268" s="1" t="str">
        <f t="shared" si="54"/>
        <v>27-4-2024</v>
      </c>
    </row>
    <row r="3269" spans="1:16" x14ac:dyDescent="0.4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  <c r="P3269" s="1" t="str">
        <f t="shared" si="54"/>
        <v>27-4-2024</v>
      </c>
    </row>
    <row r="3270" spans="1:16" x14ac:dyDescent="0.4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  <c r="P3270" s="1" t="str">
        <f t="shared" si="54"/>
        <v>28-4-2024</v>
      </c>
    </row>
    <row r="3271" spans="1:16" x14ac:dyDescent="0.4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  <c r="P3271" s="1" t="str">
        <f t="shared" si="54"/>
        <v>28-4-2024</v>
      </c>
    </row>
    <row r="3272" spans="1:16" x14ac:dyDescent="0.4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  <c r="P3272" s="1" t="str">
        <f t="shared" si="54"/>
        <v>28-4-2024</v>
      </c>
    </row>
    <row r="3273" spans="1:16" x14ac:dyDescent="0.4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  <c r="P3273" s="1" t="str">
        <f t="shared" si="54"/>
        <v>29-4-2024</v>
      </c>
    </row>
    <row r="3274" spans="1:16" x14ac:dyDescent="0.4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  <c r="P3274" s="1" t="str">
        <f t="shared" si="54"/>
        <v>29-4-2024</v>
      </c>
    </row>
    <row r="3275" spans="1:16" x14ac:dyDescent="0.4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  <c r="P3275" s="1" t="str">
        <f t="shared" si="54"/>
        <v>29-4-2024</v>
      </c>
    </row>
    <row r="3276" spans="1:16" x14ac:dyDescent="0.4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  <c r="P3276" s="1" t="str">
        <f t="shared" si="54"/>
        <v>30-4-2024</v>
      </c>
    </row>
    <row r="3277" spans="1:16" x14ac:dyDescent="0.4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  <c r="P3277" s="1" t="str">
        <f t="shared" si="54"/>
        <v>30-4-2024</v>
      </c>
    </row>
    <row r="3278" spans="1:16" x14ac:dyDescent="0.4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  <c r="P3278" s="1" t="str">
        <f t="shared" si="54"/>
        <v>30-4-2024</v>
      </c>
    </row>
    <row r="3279" spans="1:16" x14ac:dyDescent="0.4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  <c r="P3279" s="1" t="str">
        <f t="shared" si="54"/>
        <v>30-4-2024</v>
      </c>
    </row>
    <row r="3280" spans="1:16" x14ac:dyDescent="0.4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  <c r="P3280" s="1" t="str">
        <f t="shared" si="54"/>
        <v>1-5-2024</v>
      </c>
    </row>
    <row r="3281" spans="1:16" x14ac:dyDescent="0.4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  <c r="P3281" s="1" t="str">
        <f t="shared" si="54"/>
        <v>1-5-2024</v>
      </c>
    </row>
    <row r="3282" spans="1:16" x14ac:dyDescent="0.4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  <c r="P3282" s="1" t="str">
        <f t="shared" si="54"/>
        <v>1-5-2024</v>
      </c>
    </row>
    <row r="3283" spans="1:16" x14ac:dyDescent="0.4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  <c r="P3283" s="1" t="str">
        <f t="shared" si="54"/>
        <v>2-5-2024</v>
      </c>
    </row>
    <row r="3284" spans="1:16" x14ac:dyDescent="0.4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  <c r="P3284" s="1" t="str">
        <f t="shared" si="54"/>
        <v>2-5-2024</v>
      </c>
    </row>
    <row r="3285" spans="1:16" x14ac:dyDescent="0.4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  <c r="P3285" s="1" t="str">
        <f t="shared" si="54"/>
        <v>2-5-2024</v>
      </c>
    </row>
    <row r="3286" spans="1:16" x14ac:dyDescent="0.4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  <c r="P3286" s="1" t="str">
        <f t="shared" si="54"/>
        <v>2-5-2024</v>
      </c>
    </row>
    <row r="3287" spans="1:16" x14ac:dyDescent="0.4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  <c r="P3287" s="1" t="str">
        <f t="shared" si="54"/>
        <v>3-5-2024</v>
      </c>
    </row>
    <row r="3288" spans="1:16" x14ac:dyDescent="0.4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  <c r="P3288" s="1" t="str">
        <f t="shared" si="54"/>
        <v>3-5-2024</v>
      </c>
    </row>
    <row r="3289" spans="1:16" x14ac:dyDescent="0.4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  <c r="P3289" s="1" t="str">
        <f t="shared" si="54"/>
        <v>3-5-2024</v>
      </c>
    </row>
    <row r="3290" spans="1:16" x14ac:dyDescent="0.4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  <c r="P3290" s="1" t="str">
        <f t="shared" si="54"/>
        <v>4-5-2024</v>
      </c>
    </row>
    <row r="3291" spans="1:16" x14ac:dyDescent="0.4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  <c r="P3291" s="1" t="str">
        <f t="shared" si="54"/>
        <v>4-5-2024</v>
      </c>
    </row>
    <row r="3292" spans="1:16" x14ac:dyDescent="0.4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  <c r="P3292" s="1" t="str">
        <f t="shared" si="54"/>
        <v>4-5-2024</v>
      </c>
    </row>
    <row r="3293" spans="1:16" x14ac:dyDescent="0.4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  <c r="P3293" s="1" t="str">
        <f t="shared" si="54"/>
        <v>4-5-2024</v>
      </c>
    </row>
    <row r="3294" spans="1:16" x14ac:dyDescent="0.4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  <c r="P3294" s="1" t="str">
        <f t="shared" si="54"/>
        <v>5-5-2024</v>
      </c>
    </row>
    <row r="3295" spans="1:16" x14ac:dyDescent="0.4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  <c r="P3295" s="1" t="str">
        <f t="shared" si="54"/>
        <v>5-5-2024</v>
      </c>
    </row>
    <row r="3296" spans="1:16" x14ac:dyDescent="0.4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  <c r="P3296" s="1" t="str">
        <f t="shared" si="54"/>
        <v>5-5-2024</v>
      </c>
    </row>
    <row r="3297" spans="1:16" x14ac:dyDescent="0.4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  <c r="P3297" s="1" t="str">
        <f t="shared" si="54"/>
        <v>5-5-2024</v>
      </c>
    </row>
    <row r="3298" spans="1:16" x14ac:dyDescent="0.4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  <c r="P3298" s="1" t="str">
        <f t="shared" si="54"/>
        <v>6-5-2024</v>
      </c>
    </row>
    <row r="3299" spans="1:16" x14ac:dyDescent="0.4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  <c r="P3299" s="1" t="str">
        <f t="shared" si="54"/>
        <v>6-5-2024</v>
      </c>
    </row>
    <row r="3300" spans="1:16" x14ac:dyDescent="0.4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  <c r="P3300" s="1" t="str">
        <f t="shared" si="54"/>
        <v>6-5-2024</v>
      </c>
    </row>
    <row r="3301" spans="1:16" x14ac:dyDescent="0.4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  <c r="P3301" s="1" t="str">
        <f t="shared" si="54"/>
        <v>6-5-2024</v>
      </c>
    </row>
    <row r="3302" spans="1:16" x14ac:dyDescent="0.4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  <c r="P3302" s="1" t="str">
        <f t="shared" si="54"/>
        <v>7-5-2024</v>
      </c>
    </row>
    <row r="3303" spans="1:16" x14ac:dyDescent="0.4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  <c r="P3303" s="1" t="str">
        <f t="shared" si="54"/>
        <v>7-5-2024</v>
      </c>
    </row>
    <row r="3304" spans="1:16" x14ac:dyDescent="0.4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  <c r="P3304" s="1" t="str">
        <f t="shared" si="54"/>
        <v>7-5-2024</v>
      </c>
    </row>
    <row r="3305" spans="1:16" x14ac:dyDescent="0.4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  <c r="P3305" s="1" t="str">
        <f t="shared" si="54"/>
        <v>8-5-2024</v>
      </c>
    </row>
    <row r="3306" spans="1:16" x14ac:dyDescent="0.4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  <c r="P3306" s="1" t="str">
        <f t="shared" si="54"/>
        <v>8-5-2024</v>
      </c>
    </row>
    <row r="3307" spans="1:16" x14ac:dyDescent="0.4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  <c r="P3307" s="1" t="str">
        <f t="shared" si="54"/>
        <v>8-5-2024</v>
      </c>
    </row>
    <row r="3308" spans="1:16" x14ac:dyDescent="0.4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  <c r="P3308" s="1" t="str">
        <f t="shared" si="54"/>
        <v>8-5-2024</v>
      </c>
    </row>
    <row r="3309" spans="1:16" x14ac:dyDescent="0.4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  <c r="P3309" s="1" t="str">
        <f t="shared" si="54"/>
        <v>9-5-2024</v>
      </c>
    </row>
    <row r="3310" spans="1:16" x14ac:dyDescent="0.4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  <c r="P3310" s="1" t="str">
        <f t="shared" si="54"/>
        <v>9-5-2024</v>
      </c>
    </row>
    <row r="3311" spans="1:16" x14ac:dyDescent="0.4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  <c r="P3311" s="1" t="str">
        <f t="shared" si="54"/>
        <v>9-5-2024</v>
      </c>
    </row>
    <row r="3312" spans="1:16" x14ac:dyDescent="0.4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  <c r="P3312" s="1" t="str">
        <f t="shared" si="54"/>
        <v>10-5-2024</v>
      </c>
    </row>
    <row r="3313" spans="1:16" x14ac:dyDescent="0.4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  <c r="P3313" s="1" t="str">
        <f t="shared" si="54"/>
        <v>10-5-2024</v>
      </c>
    </row>
    <row r="3314" spans="1:16" x14ac:dyDescent="0.4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  <c r="P3314" s="1" t="str">
        <f t="shared" si="54"/>
        <v>10-5-2024</v>
      </c>
    </row>
    <row r="3315" spans="1:16" x14ac:dyDescent="0.4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  <c r="P3315" s="1" t="str">
        <f t="shared" si="54"/>
        <v>11-5-2024</v>
      </c>
    </row>
    <row r="3316" spans="1:16" x14ac:dyDescent="0.4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  <c r="P3316" s="1" t="str">
        <f t="shared" si="54"/>
        <v>11-5-2024</v>
      </c>
    </row>
    <row r="3317" spans="1:16" x14ac:dyDescent="0.4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  <c r="P3317" s="1" t="str">
        <f t="shared" si="54"/>
        <v>11-5-2024</v>
      </c>
    </row>
    <row r="3318" spans="1:16" x14ac:dyDescent="0.4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  <c r="P3318" s="1" t="str">
        <f t="shared" si="54"/>
        <v>12-5-2024</v>
      </c>
    </row>
    <row r="3319" spans="1:16" x14ac:dyDescent="0.4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  <c r="P3319" s="1" t="str">
        <f t="shared" si="54"/>
        <v>12-5-2024</v>
      </c>
    </row>
    <row r="3320" spans="1:16" x14ac:dyDescent="0.4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  <c r="P3320" s="1" t="str">
        <f t="shared" si="54"/>
        <v>12-5-2024</v>
      </c>
    </row>
    <row r="3321" spans="1:16" x14ac:dyDescent="0.4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  <c r="P3321" s="1" t="str">
        <f t="shared" si="54"/>
        <v>13-5-2024</v>
      </c>
    </row>
    <row r="3322" spans="1:16" x14ac:dyDescent="0.4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  <c r="P3322" s="1" t="str">
        <f t="shared" si="54"/>
        <v>13-5-2024</v>
      </c>
    </row>
    <row r="3323" spans="1:16" x14ac:dyDescent="0.4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  <c r="P3323" s="1" t="str">
        <f t="shared" si="54"/>
        <v>13-5-2024</v>
      </c>
    </row>
    <row r="3324" spans="1:16" x14ac:dyDescent="0.4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  <c r="P3324" s="1" t="str">
        <f t="shared" si="54"/>
        <v>13-5-2024</v>
      </c>
    </row>
    <row r="3325" spans="1:16" x14ac:dyDescent="0.4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  <c r="P3325" s="1" t="str">
        <f t="shared" si="54"/>
        <v>14-5-2024</v>
      </c>
    </row>
    <row r="3326" spans="1:16" x14ac:dyDescent="0.4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  <c r="P3326" s="1" t="str">
        <f t="shared" si="54"/>
        <v>14-5-2024</v>
      </c>
    </row>
    <row r="3327" spans="1:16" x14ac:dyDescent="0.4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  <c r="P3327" s="1" t="str">
        <f t="shared" si="54"/>
        <v>14-5-2024</v>
      </c>
    </row>
    <row r="3328" spans="1:16" x14ac:dyDescent="0.4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  <c r="P3328" s="1" t="str">
        <f t="shared" si="54"/>
        <v>14-5-2024</v>
      </c>
    </row>
    <row r="3329" spans="1:16" x14ac:dyDescent="0.4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  <c r="P3329" s="1" t="str">
        <f t="shared" si="54"/>
        <v>15-5-2024</v>
      </c>
    </row>
    <row r="3330" spans="1:16" x14ac:dyDescent="0.4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  <c r="P3330" s="1" t="str">
        <f t="shared" si="54"/>
        <v>15-5-2024</v>
      </c>
    </row>
    <row r="3331" spans="1:16" x14ac:dyDescent="0.4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  <c r="P3331" s="1" t="str">
        <f t="shared" ref="P3331:P3394" si="55">B3331&amp;"-"&amp;C3331&amp;"-"&amp;D3331</f>
        <v>15-5-2024</v>
      </c>
    </row>
    <row r="3332" spans="1:16" x14ac:dyDescent="0.4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  <c r="P3332" s="1" t="str">
        <f t="shared" si="55"/>
        <v>16-5-2024</v>
      </c>
    </row>
    <row r="3333" spans="1:16" x14ac:dyDescent="0.4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  <c r="P3333" s="1" t="str">
        <f t="shared" si="55"/>
        <v>16-5-2024</v>
      </c>
    </row>
    <row r="3334" spans="1:16" x14ac:dyDescent="0.4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  <c r="P3334" s="1" t="str">
        <f t="shared" si="55"/>
        <v>16-5-2024</v>
      </c>
    </row>
    <row r="3335" spans="1:16" x14ac:dyDescent="0.4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  <c r="P3335" s="1" t="str">
        <f t="shared" si="55"/>
        <v>17-5-2024</v>
      </c>
    </row>
    <row r="3336" spans="1:16" x14ac:dyDescent="0.4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  <c r="P3336" s="1" t="str">
        <f t="shared" si="55"/>
        <v>17-5-2024</v>
      </c>
    </row>
    <row r="3337" spans="1:16" x14ac:dyDescent="0.4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  <c r="P3337" s="1" t="str">
        <f t="shared" si="55"/>
        <v>17-5-2024</v>
      </c>
    </row>
    <row r="3338" spans="1:16" x14ac:dyDescent="0.4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  <c r="P3338" s="1" t="str">
        <f t="shared" si="55"/>
        <v>17-5-2024</v>
      </c>
    </row>
    <row r="3339" spans="1:16" x14ac:dyDescent="0.4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  <c r="P3339" s="1" t="str">
        <f t="shared" si="55"/>
        <v>18-5-2024</v>
      </c>
    </row>
    <row r="3340" spans="1:16" x14ac:dyDescent="0.4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  <c r="P3340" s="1" t="str">
        <f t="shared" si="55"/>
        <v>18-5-2024</v>
      </c>
    </row>
    <row r="3341" spans="1:16" x14ac:dyDescent="0.4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  <c r="P3341" s="1" t="str">
        <f t="shared" si="55"/>
        <v>18-5-2024</v>
      </c>
    </row>
    <row r="3342" spans="1:16" x14ac:dyDescent="0.4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  <c r="P3342" s="1" t="str">
        <f t="shared" si="55"/>
        <v>19-5-2024</v>
      </c>
    </row>
    <row r="3343" spans="1:16" x14ac:dyDescent="0.4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  <c r="P3343" s="1" t="str">
        <f t="shared" si="55"/>
        <v>19-5-2024</v>
      </c>
    </row>
    <row r="3344" spans="1:16" x14ac:dyDescent="0.4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  <c r="P3344" s="1" t="str">
        <f t="shared" si="55"/>
        <v>19-5-2024</v>
      </c>
    </row>
    <row r="3345" spans="1:16" x14ac:dyDescent="0.4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  <c r="P3345" s="1" t="str">
        <f t="shared" si="55"/>
        <v>19-5-2024</v>
      </c>
    </row>
    <row r="3346" spans="1:16" x14ac:dyDescent="0.4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  <c r="P3346" s="1" t="str">
        <f t="shared" si="55"/>
        <v>20-5-2024</v>
      </c>
    </row>
    <row r="3347" spans="1:16" x14ac:dyDescent="0.4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  <c r="P3347" s="1" t="str">
        <f t="shared" si="55"/>
        <v>20-5-2024</v>
      </c>
    </row>
    <row r="3348" spans="1:16" x14ac:dyDescent="0.4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  <c r="P3348" s="1" t="str">
        <f t="shared" si="55"/>
        <v>20-5-2024</v>
      </c>
    </row>
    <row r="3349" spans="1:16" x14ac:dyDescent="0.4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  <c r="P3349" s="1" t="str">
        <f t="shared" si="55"/>
        <v>21-5-2024</v>
      </c>
    </row>
    <row r="3350" spans="1:16" x14ac:dyDescent="0.4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  <c r="P3350" s="1" t="str">
        <f t="shared" si="55"/>
        <v>21-5-2024</v>
      </c>
    </row>
    <row r="3351" spans="1:16" x14ac:dyDescent="0.4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  <c r="P3351" s="1" t="str">
        <f t="shared" si="55"/>
        <v>21-5-2024</v>
      </c>
    </row>
    <row r="3352" spans="1:16" x14ac:dyDescent="0.4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  <c r="P3352" s="1" t="str">
        <f t="shared" si="55"/>
        <v>22-5-2024</v>
      </c>
    </row>
    <row r="3353" spans="1:16" x14ac:dyDescent="0.4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  <c r="P3353" s="1" t="str">
        <f t="shared" si="55"/>
        <v>22-5-2024</v>
      </c>
    </row>
    <row r="3354" spans="1:16" x14ac:dyDescent="0.4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  <c r="P3354" s="1" t="str">
        <f t="shared" si="55"/>
        <v>22-5-2024</v>
      </c>
    </row>
    <row r="3355" spans="1:16" x14ac:dyDescent="0.4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  <c r="P3355" s="1" t="str">
        <f t="shared" si="55"/>
        <v>22-5-2024</v>
      </c>
    </row>
    <row r="3356" spans="1:16" x14ac:dyDescent="0.4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  <c r="P3356" s="1" t="str">
        <f t="shared" si="55"/>
        <v>23-5-2024</v>
      </c>
    </row>
    <row r="3357" spans="1:16" x14ac:dyDescent="0.4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  <c r="P3357" s="1" t="str">
        <f t="shared" si="55"/>
        <v>23-5-2024</v>
      </c>
    </row>
    <row r="3358" spans="1:16" x14ac:dyDescent="0.4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  <c r="P3358" s="1" t="str">
        <f t="shared" si="55"/>
        <v>23-5-2024</v>
      </c>
    </row>
    <row r="3359" spans="1:16" x14ac:dyDescent="0.4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  <c r="P3359" s="1" t="str">
        <f t="shared" si="55"/>
        <v>24-5-2024</v>
      </c>
    </row>
    <row r="3360" spans="1:16" x14ac:dyDescent="0.4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  <c r="P3360" s="1" t="str">
        <f t="shared" si="55"/>
        <v>24-5-2024</v>
      </c>
    </row>
    <row r="3361" spans="1:16" x14ac:dyDescent="0.4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  <c r="P3361" s="1" t="str">
        <f t="shared" si="55"/>
        <v>24-5-2024</v>
      </c>
    </row>
    <row r="3362" spans="1:16" x14ac:dyDescent="0.4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  <c r="P3362" s="1" t="str">
        <f t="shared" si="55"/>
        <v>24-5-2024</v>
      </c>
    </row>
    <row r="3363" spans="1:16" x14ac:dyDescent="0.4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  <c r="P3363" s="1" t="str">
        <f t="shared" si="55"/>
        <v>25-5-2024</v>
      </c>
    </row>
    <row r="3364" spans="1:16" x14ac:dyDescent="0.4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  <c r="P3364" s="1" t="str">
        <f t="shared" si="55"/>
        <v>25-5-2024</v>
      </c>
    </row>
    <row r="3365" spans="1:16" x14ac:dyDescent="0.4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  <c r="P3365" s="1" t="str">
        <f t="shared" si="55"/>
        <v>25-5-2024</v>
      </c>
    </row>
    <row r="3366" spans="1:16" x14ac:dyDescent="0.4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  <c r="P3366" s="1" t="str">
        <f t="shared" si="55"/>
        <v>26-5-2024</v>
      </c>
    </row>
    <row r="3367" spans="1:16" x14ac:dyDescent="0.4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  <c r="P3367" s="1" t="str">
        <f t="shared" si="55"/>
        <v>26-5-2024</v>
      </c>
    </row>
    <row r="3368" spans="1:16" x14ac:dyDescent="0.4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  <c r="P3368" s="1" t="str">
        <f t="shared" si="55"/>
        <v>26-5-2024</v>
      </c>
    </row>
    <row r="3369" spans="1:16" x14ac:dyDescent="0.4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  <c r="P3369" s="1" t="str">
        <f t="shared" si="55"/>
        <v>27-5-2024</v>
      </c>
    </row>
    <row r="3370" spans="1:16" x14ac:dyDescent="0.4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  <c r="P3370" s="1" t="str">
        <f t="shared" si="55"/>
        <v>27-5-2024</v>
      </c>
    </row>
    <row r="3371" spans="1:16" x14ac:dyDescent="0.4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  <c r="P3371" s="1" t="str">
        <f t="shared" si="55"/>
        <v>27-5-2024</v>
      </c>
    </row>
    <row r="3372" spans="1:16" x14ac:dyDescent="0.4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  <c r="P3372" s="1" t="str">
        <f t="shared" si="55"/>
        <v>28-5-2024</v>
      </c>
    </row>
    <row r="3373" spans="1:16" x14ac:dyDescent="0.4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  <c r="P3373" s="1" t="str">
        <f t="shared" si="55"/>
        <v>28-5-2024</v>
      </c>
    </row>
    <row r="3374" spans="1:16" x14ac:dyDescent="0.4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  <c r="P3374" s="1" t="str">
        <f t="shared" si="55"/>
        <v>28-5-2024</v>
      </c>
    </row>
    <row r="3375" spans="1:16" x14ac:dyDescent="0.4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  <c r="P3375" s="1" t="str">
        <f t="shared" si="55"/>
        <v>28-5-2024</v>
      </c>
    </row>
    <row r="3376" spans="1:16" x14ac:dyDescent="0.4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  <c r="P3376" s="1" t="str">
        <f t="shared" si="55"/>
        <v>29-5-2024</v>
      </c>
    </row>
    <row r="3377" spans="1:16" x14ac:dyDescent="0.4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  <c r="P3377" s="1" t="str">
        <f t="shared" si="55"/>
        <v>29-5-2024</v>
      </c>
    </row>
    <row r="3378" spans="1:16" x14ac:dyDescent="0.4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  <c r="P3378" s="1" t="str">
        <f t="shared" si="55"/>
        <v>29-5-2024</v>
      </c>
    </row>
    <row r="3379" spans="1:16" x14ac:dyDescent="0.4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  <c r="P3379" s="1" t="str">
        <f t="shared" si="55"/>
        <v>30-5-2024</v>
      </c>
    </row>
    <row r="3380" spans="1:16" x14ac:dyDescent="0.4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  <c r="P3380" s="1" t="str">
        <f t="shared" si="55"/>
        <v>30-5-2024</v>
      </c>
    </row>
    <row r="3381" spans="1:16" x14ac:dyDescent="0.4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  <c r="P3381" s="1" t="str">
        <f t="shared" si="55"/>
        <v>30-5-2024</v>
      </c>
    </row>
    <row r="3382" spans="1:16" x14ac:dyDescent="0.4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  <c r="P3382" s="1" t="str">
        <f t="shared" si="55"/>
        <v>31-5-2024</v>
      </c>
    </row>
    <row r="3383" spans="1:16" x14ac:dyDescent="0.4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  <c r="P3383" s="1" t="str">
        <f t="shared" si="55"/>
        <v>31-5-2024</v>
      </c>
    </row>
    <row r="3384" spans="1:16" x14ac:dyDescent="0.4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  <c r="P3384" s="1" t="str">
        <f t="shared" si="55"/>
        <v>31-5-2024</v>
      </c>
    </row>
    <row r="3385" spans="1:16" x14ac:dyDescent="0.4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  <c r="P3385" s="1" t="str">
        <f t="shared" si="55"/>
        <v>1-6-2024</v>
      </c>
    </row>
    <row r="3386" spans="1:16" x14ac:dyDescent="0.4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  <c r="P3386" s="1" t="str">
        <f t="shared" si="55"/>
        <v>1-6-2024</v>
      </c>
    </row>
    <row r="3387" spans="1:16" x14ac:dyDescent="0.4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  <c r="P3387" s="1" t="str">
        <f t="shared" si="55"/>
        <v>1-6-2024</v>
      </c>
    </row>
    <row r="3388" spans="1:16" x14ac:dyDescent="0.4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  <c r="P3388" s="1" t="str">
        <f t="shared" si="55"/>
        <v>2-6-2024</v>
      </c>
    </row>
    <row r="3389" spans="1:16" x14ac:dyDescent="0.4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  <c r="P3389" s="1" t="str">
        <f t="shared" si="55"/>
        <v>2-6-2024</v>
      </c>
    </row>
    <row r="3390" spans="1:16" x14ac:dyDescent="0.4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  <c r="P3390" s="1" t="str">
        <f t="shared" si="55"/>
        <v>2-6-2024</v>
      </c>
    </row>
    <row r="3391" spans="1:16" x14ac:dyDescent="0.4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  <c r="P3391" s="1" t="str">
        <f t="shared" si="55"/>
        <v>2-6-2024</v>
      </c>
    </row>
    <row r="3392" spans="1:16" x14ac:dyDescent="0.4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  <c r="P3392" s="1" t="str">
        <f t="shared" si="55"/>
        <v>3-6-2024</v>
      </c>
    </row>
    <row r="3393" spans="1:16" x14ac:dyDescent="0.4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  <c r="P3393" s="1" t="str">
        <f t="shared" si="55"/>
        <v>3-6-2024</v>
      </c>
    </row>
    <row r="3394" spans="1:16" x14ac:dyDescent="0.4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  <c r="P3394" s="1" t="str">
        <f t="shared" si="55"/>
        <v>3-6-2024</v>
      </c>
    </row>
    <row r="3395" spans="1:16" x14ac:dyDescent="0.4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  <c r="P3395" s="1" t="str">
        <f t="shared" ref="P3395:P3458" si="56">B3395&amp;"-"&amp;C3395&amp;"-"&amp;D3395</f>
        <v>3-6-2024</v>
      </c>
    </row>
    <row r="3396" spans="1:16" x14ac:dyDescent="0.4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  <c r="P3396" s="1" t="str">
        <f t="shared" si="56"/>
        <v>4-6-2024</v>
      </c>
    </row>
    <row r="3397" spans="1:16" x14ac:dyDescent="0.4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  <c r="P3397" s="1" t="str">
        <f t="shared" si="56"/>
        <v>4-6-2024</v>
      </c>
    </row>
    <row r="3398" spans="1:16" x14ac:dyDescent="0.4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  <c r="P3398" s="1" t="str">
        <f t="shared" si="56"/>
        <v>4-6-2024</v>
      </c>
    </row>
    <row r="3399" spans="1:16" x14ac:dyDescent="0.4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  <c r="P3399" s="1" t="str">
        <f t="shared" si="56"/>
        <v>5-6-2024</v>
      </c>
    </row>
    <row r="3400" spans="1:16" x14ac:dyDescent="0.4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  <c r="P3400" s="1" t="str">
        <f t="shared" si="56"/>
        <v>5-6-2024</v>
      </c>
    </row>
    <row r="3401" spans="1:16" x14ac:dyDescent="0.4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  <c r="P3401" s="1" t="str">
        <f t="shared" si="56"/>
        <v>5-6-2024</v>
      </c>
    </row>
    <row r="3402" spans="1:16" x14ac:dyDescent="0.4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  <c r="P3402" s="1" t="str">
        <f t="shared" si="56"/>
        <v>5-6-2024</v>
      </c>
    </row>
    <row r="3403" spans="1:16" x14ac:dyDescent="0.4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  <c r="P3403" s="1" t="str">
        <f t="shared" si="56"/>
        <v>6-6-2024</v>
      </c>
    </row>
    <row r="3404" spans="1:16" x14ac:dyDescent="0.4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  <c r="P3404" s="1" t="str">
        <f t="shared" si="56"/>
        <v>6-6-2024</v>
      </c>
    </row>
    <row r="3405" spans="1:16" x14ac:dyDescent="0.4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  <c r="P3405" s="1" t="str">
        <f t="shared" si="56"/>
        <v>6-6-2024</v>
      </c>
    </row>
    <row r="3406" spans="1:16" x14ac:dyDescent="0.4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  <c r="P3406" s="1" t="str">
        <f t="shared" si="56"/>
        <v>7-6-2024</v>
      </c>
    </row>
    <row r="3407" spans="1:16" x14ac:dyDescent="0.4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  <c r="P3407" s="1" t="str">
        <f t="shared" si="56"/>
        <v>7-6-2024</v>
      </c>
    </row>
    <row r="3408" spans="1:16" x14ac:dyDescent="0.4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  <c r="P3408" s="1" t="str">
        <f t="shared" si="56"/>
        <v>7-6-2024</v>
      </c>
    </row>
    <row r="3409" spans="1:16" x14ac:dyDescent="0.4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  <c r="P3409" s="1" t="str">
        <f t="shared" si="56"/>
        <v>8-6-2024</v>
      </c>
    </row>
    <row r="3410" spans="1:16" x14ac:dyDescent="0.4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  <c r="P3410" s="1" t="str">
        <f t="shared" si="56"/>
        <v>8-6-2024</v>
      </c>
    </row>
    <row r="3411" spans="1:16" x14ac:dyDescent="0.4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  <c r="P3411" s="1" t="str">
        <f t="shared" si="56"/>
        <v>8-6-2024</v>
      </c>
    </row>
    <row r="3412" spans="1:16" x14ac:dyDescent="0.4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  <c r="P3412" s="1" t="str">
        <f t="shared" si="56"/>
        <v>9-6-2024</v>
      </c>
    </row>
    <row r="3413" spans="1:16" x14ac:dyDescent="0.4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  <c r="P3413" s="1" t="str">
        <f t="shared" si="56"/>
        <v>9-6-2024</v>
      </c>
    </row>
    <row r="3414" spans="1:16" x14ac:dyDescent="0.4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  <c r="P3414" s="1" t="str">
        <f t="shared" si="56"/>
        <v>9-6-2024</v>
      </c>
    </row>
    <row r="3415" spans="1:16" x14ac:dyDescent="0.4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  <c r="P3415" s="1" t="str">
        <f t="shared" si="56"/>
        <v>9-6-2024</v>
      </c>
    </row>
    <row r="3416" spans="1:16" x14ac:dyDescent="0.4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  <c r="P3416" s="1" t="str">
        <f t="shared" si="56"/>
        <v>10-6-2024</v>
      </c>
    </row>
    <row r="3417" spans="1:16" x14ac:dyDescent="0.4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  <c r="P3417" s="1" t="str">
        <f t="shared" si="56"/>
        <v>10-6-2024</v>
      </c>
    </row>
    <row r="3418" spans="1:16" x14ac:dyDescent="0.4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  <c r="P3418" s="1" t="str">
        <f t="shared" si="56"/>
        <v>10-6-2024</v>
      </c>
    </row>
    <row r="3419" spans="1:16" x14ac:dyDescent="0.4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  <c r="P3419" s="1" t="str">
        <f t="shared" si="56"/>
        <v>10-6-2024</v>
      </c>
    </row>
    <row r="3420" spans="1:16" x14ac:dyDescent="0.4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  <c r="P3420" s="1" t="str">
        <f t="shared" si="56"/>
        <v>11-6-2024</v>
      </c>
    </row>
    <row r="3421" spans="1:16" x14ac:dyDescent="0.4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  <c r="P3421" s="1" t="str">
        <f t="shared" si="56"/>
        <v>11-6-2024</v>
      </c>
    </row>
    <row r="3422" spans="1:16" x14ac:dyDescent="0.4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  <c r="P3422" s="1" t="str">
        <f t="shared" si="56"/>
        <v>11-6-2024</v>
      </c>
    </row>
    <row r="3423" spans="1:16" x14ac:dyDescent="0.4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  <c r="P3423" s="1" t="str">
        <f t="shared" si="56"/>
        <v>11-6-2024</v>
      </c>
    </row>
    <row r="3424" spans="1:16" x14ac:dyDescent="0.4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  <c r="P3424" s="1" t="str">
        <f t="shared" si="56"/>
        <v>12-6-2024</v>
      </c>
    </row>
    <row r="3425" spans="1:16" x14ac:dyDescent="0.4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  <c r="P3425" s="1" t="str">
        <f t="shared" si="56"/>
        <v>12-6-2024</v>
      </c>
    </row>
    <row r="3426" spans="1:16" x14ac:dyDescent="0.4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  <c r="P3426" s="1" t="str">
        <f t="shared" si="56"/>
        <v>12-6-2024</v>
      </c>
    </row>
    <row r="3427" spans="1:16" x14ac:dyDescent="0.4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  <c r="P3427" s="1" t="str">
        <f t="shared" si="56"/>
        <v>12-6-2024</v>
      </c>
    </row>
    <row r="3428" spans="1:16" x14ac:dyDescent="0.4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  <c r="P3428" s="1" t="str">
        <f t="shared" si="56"/>
        <v>13-6-2024</v>
      </c>
    </row>
    <row r="3429" spans="1:16" x14ac:dyDescent="0.4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  <c r="P3429" s="1" t="str">
        <f t="shared" si="56"/>
        <v>13-6-2024</v>
      </c>
    </row>
    <row r="3430" spans="1:16" x14ac:dyDescent="0.4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  <c r="P3430" s="1" t="str">
        <f t="shared" si="56"/>
        <v>13-6-2024</v>
      </c>
    </row>
    <row r="3431" spans="1:16" x14ac:dyDescent="0.4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  <c r="P3431" s="1" t="str">
        <f t="shared" si="56"/>
        <v>13-6-2024</v>
      </c>
    </row>
    <row r="3432" spans="1:16" x14ac:dyDescent="0.4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  <c r="P3432" s="1" t="str">
        <f t="shared" si="56"/>
        <v>14-6-2024</v>
      </c>
    </row>
    <row r="3433" spans="1:16" x14ac:dyDescent="0.4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  <c r="P3433" s="1" t="str">
        <f t="shared" si="56"/>
        <v>14-6-2024</v>
      </c>
    </row>
    <row r="3434" spans="1:16" x14ac:dyDescent="0.4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  <c r="P3434" s="1" t="str">
        <f t="shared" si="56"/>
        <v>14-6-2024</v>
      </c>
    </row>
    <row r="3435" spans="1:16" x14ac:dyDescent="0.4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  <c r="P3435" s="1" t="str">
        <f t="shared" si="56"/>
        <v>14-6-2024</v>
      </c>
    </row>
    <row r="3436" spans="1:16" x14ac:dyDescent="0.4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  <c r="P3436" s="1" t="str">
        <f t="shared" si="56"/>
        <v>15-6-2024</v>
      </c>
    </row>
    <row r="3437" spans="1:16" x14ac:dyDescent="0.4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  <c r="P3437" s="1" t="str">
        <f t="shared" si="56"/>
        <v>15-6-2024</v>
      </c>
    </row>
    <row r="3438" spans="1:16" x14ac:dyDescent="0.4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  <c r="P3438" s="1" t="str">
        <f t="shared" si="56"/>
        <v>15-6-2024</v>
      </c>
    </row>
    <row r="3439" spans="1:16" x14ac:dyDescent="0.4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  <c r="P3439" s="1" t="str">
        <f t="shared" si="56"/>
        <v>15-6-2024</v>
      </c>
    </row>
    <row r="3440" spans="1:16" x14ac:dyDescent="0.4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  <c r="P3440" s="1" t="str">
        <f t="shared" si="56"/>
        <v>16-6-2024</v>
      </c>
    </row>
    <row r="3441" spans="1:16" x14ac:dyDescent="0.4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  <c r="P3441" s="1" t="str">
        <f t="shared" si="56"/>
        <v>16-6-2024</v>
      </c>
    </row>
    <row r="3442" spans="1:16" x14ac:dyDescent="0.4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  <c r="P3442" s="1" t="str">
        <f t="shared" si="56"/>
        <v>16-6-2024</v>
      </c>
    </row>
    <row r="3443" spans="1:16" x14ac:dyDescent="0.4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  <c r="P3443" s="1" t="str">
        <f t="shared" si="56"/>
        <v>16-6-2024</v>
      </c>
    </row>
    <row r="3444" spans="1:16" x14ac:dyDescent="0.4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  <c r="P3444" s="1" t="str">
        <f t="shared" si="56"/>
        <v>17-6-2024</v>
      </c>
    </row>
    <row r="3445" spans="1:16" x14ac:dyDescent="0.4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  <c r="P3445" s="1" t="str">
        <f t="shared" si="56"/>
        <v>17-6-2024</v>
      </c>
    </row>
    <row r="3446" spans="1:16" x14ac:dyDescent="0.4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  <c r="P3446" s="1" t="str">
        <f t="shared" si="56"/>
        <v>17-6-2024</v>
      </c>
    </row>
    <row r="3447" spans="1:16" x14ac:dyDescent="0.4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  <c r="P3447" s="1" t="str">
        <f t="shared" si="56"/>
        <v>17-6-2024</v>
      </c>
    </row>
    <row r="3448" spans="1:16" x14ac:dyDescent="0.4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  <c r="P3448" s="1" t="str">
        <f t="shared" si="56"/>
        <v>18-6-2024</v>
      </c>
    </row>
    <row r="3449" spans="1:16" x14ac:dyDescent="0.4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  <c r="P3449" s="1" t="str">
        <f t="shared" si="56"/>
        <v>18-6-2024</v>
      </c>
    </row>
    <row r="3450" spans="1:16" x14ac:dyDescent="0.4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  <c r="P3450" s="1" t="str">
        <f t="shared" si="56"/>
        <v>18-6-2024</v>
      </c>
    </row>
    <row r="3451" spans="1:16" x14ac:dyDescent="0.4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  <c r="P3451" s="1" t="str">
        <f t="shared" si="56"/>
        <v>19-6-2024</v>
      </c>
    </row>
    <row r="3452" spans="1:16" x14ac:dyDescent="0.4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  <c r="P3452" s="1" t="str">
        <f t="shared" si="56"/>
        <v>19-6-2024</v>
      </c>
    </row>
    <row r="3453" spans="1:16" x14ac:dyDescent="0.4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  <c r="P3453" s="1" t="str">
        <f t="shared" si="56"/>
        <v>19-6-2024</v>
      </c>
    </row>
    <row r="3454" spans="1:16" x14ac:dyDescent="0.4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  <c r="P3454" s="1" t="str">
        <f t="shared" si="56"/>
        <v>19-6-2024</v>
      </c>
    </row>
    <row r="3455" spans="1:16" x14ac:dyDescent="0.4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  <c r="P3455" s="1" t="str">
        <f t="shared" si="56"/>
        <v>20-6-2024</v>
      </c>
    </row>
    <row r="3456" spans="1:16" x14ac:dyDescent="0.4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  <c r="P3456" s="1" t="str">
        <f t="shared" si="56"/>
        <v>20-6-2024</v>
      </c>
    </row>
    <row r="3457" spans="1:16" x14ac:dyDescent="0.4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  <c r="P3457" s="1" t="str">
        <f t="shared" si="56"/>
        <v>20-6-2024</v>
      </c>
    </row>
    <row r="3458" spans="1:16" x14ac:dyDescent="0.4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  <c r="P3458" s="1" t="str">
        <f t="shared" si="56"/>
        <v>20-6-2024</v>
      </c>
    </row>
    <row r="3459" spans="1:16" x14ac:dyDescent="0.4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  <c r="P3459" s="1" t="str">
        <f t="shared" ref="P3459:P3522" si="57">B3459&amp;"-"&amp;C3459&amp;"-"&amp;D3459</f>
        <v>21-6-2024</v>
      </c>
    </row>
    <row r="3460" spans="1:16" x14ac:dyDescent="0.4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  <c r="P3460" s="1" t="str">
        <f t="shared" si="57"/>
        <v>21-6-2024</v>
      </c>
    </row>
    <row r="3461" spans="1:16" x14ac:dyDescent="0.4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  <c r="P3461" s="1" t="str">
        <f t="shared" si="57"/>
        <v>21-6-2024</v>
      </c>
    </row>
    <row r="3462" spans="1:16" x14ac:dyDescent="0.4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  <c r="P3462" s="1" t="str">
        <f t="shared" si="57"/>
        <v>21-6-2024</v>
      </c>
    </row>
    <row r="3463" spans="1:16" x14ac:dyDescent="0.4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  <c r="P3463" s="1" t="str">
        <f t="shared" si="57"/>
        <v>22-6-2024</v>
      </c>
    </row>
    <row r="3464" spans="1:16" x14ac:dyDescent="0.4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  <c r="P3464" s="1" t="str">
        <f t="shared" si="57"/>
        <v>22-6-2024</v>
      </c>
    </row>
    <row r="3465" spans="1:16" x14ac:dyDescent="0.4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  <c r="P3465" s="1" t="str">
        <f t="shared" si="57"/>
        <v>22-6-2024</v>
      </c>
    </row>
    <row r="3466" spans="1:16" x14ac:dyDescent="0.4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  <c r="P3466" s="1" t="str">
        <f t="shared" si="57"/>
        <v>22-6-2024</v>
      </c>
    </row>
    <row r="3467" spans="1:16" x14ac:dyDescent="0.4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  <c r="P3467" s="1" t="str">
        <f t="shared" si="57"/>
        <v>23-6-2024</v>
      </c>
    </row>
    <row r="3468" spans="1:16" x14ac:dyDescent="0.4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  <c r="P3468" s="1" t="str">
        <f t="shared" si="57"/>
        <v>23-6-2024</v>
      </c>
    </row>
    <row r="3469" spans="1:16" x14ac:dyDescent="0.4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  <c r="P3469" s="1" t="str">
        <f t="shared" si="57"/>
        <v>23-6-2024</v>
      </c>
    </row>
    <row r="3470" spans="1:16" x14ac:dyDescent="0.4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  <c r="P3470" s="1" t="str">
        <f t="shared" si="57"/>
        <v>23-6-2024</v>
      </c>
    </row>
    <row r="3471" spans="1:16" x14ac:dyDescent="0.4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  <c r="P3471" s="1" t="str">
        <f t="shared" si="57"/>
        <v>24-6-2024</v>
      </c>
    </row>
    <row r="3472" spans="1:16" x14ac:dyDescent="0.4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  <c r="P3472" s="1" t="str">
        <f t="shared" si="57"/>
        <v>24-6-2024</v>
      </c>
    </row>
    <row r="3473" spans="1:16" x14ac:dyDescent="0.4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  <c r="P3473" s="1" t="str">
        <f t="shared" si="57"/>
        <v>24-6-2024</v>
      </c>
    </row>
    <row r="3474" spans="1:16" x14ac:dyDescent="0.4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  <c r="P3474" s="1" t="str">
        <f t="shared" si="57"/>
        <v>24-6-2024</v>
      </c>
    </row>
    <row r="3475" spans="1:16" x14ac:dyDescent="0.4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  <c r="P3475" s="1" t="str">
        <f t="shared" si="57"/>
        <v>25-6-2024</v>
      </c>
    </row>
    <row r="3476" spans="1:16" x14ac:dyDescent="0.4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  <c r="P3476" s="1" t="str">
        <f t="shared" si="57"/>
        <v>25-6-2024</v>
      </c>
    </row>
    <row r="3477" spans="1:16" x14ac:dyDescent="0.4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  <c r="P3477" s="1" t="str">
        <f t="shared" si="57"/>
        <v>25-6-2024</v>
      </c>
    </row>
    <row r="3478" spans="1:16" x14ac:dyDescent="0.4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  <c r="P3478" s="1" t="str">
        <f t="shared" si="57"/>
        <v>25-6-2024</v>
      </c>
    </row>
    <row r="3479" spans="1:16" x14ac:dyDescent="0.4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  <c r="P3479" s="1" t="str">
        <f t="shared" si="57"/>
        <v>26-6-2024</v>
      </c>
    </row>
    <row r="3480" spans="1:16" x14ac:dyDescent="0.4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  <c r="P3480" s="1" t="str">
        <f t="shared" si="57"/>
        <v>26-6-2024</v>
      </c>
    </row>
    <row r="3481" spans="1:16" x14ac:dyDescent="0.4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  <c r="P3481" s="1" t="str">
        <f t="shared" si="57"/>
        <v>26-6-2024</v>
      </c>
    </row>
    <row r="3482" spans="1:16" x14ac:dyDescent="0.4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  <c r="P3482" s="1" t="str">
        <f t="shared" si="57"/>
        <v>26-6-2024</v>
      </c>
    </row>
    <row r="3483" spans="1:16" x14ac:dyDescent="0.4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  <c r="P3483" s="1" t="str">
        <f t="shared" si="57"/>
        <v>27-6-2024</v>
      </c>
    </row>
    <row r="3484" spans="1:16" x14ac:dyDescent="0.4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  <c r="P3484" s="1" t="str">
        <f t="shared" si="57"/>
        <v>27-6-2024</v>
      </c>
    </row>
    <row r="3485" spans="1:16" x14ac:dyDescent="0.4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  <c r="P3485" s="1" t="str">
        <f t="shared" si="57"/>
        <v>27-6-2024</v>
      </c>
    </row>
    <row r="3486" spans="1:16" x14ac:dyDescent="0.4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  <c r="P3486" s="1" t="str">
        <f t="shared" si="57"/>
        <v>27-6-2024</v>
      </c>
    </row>
    <row r="3487" spans="1:16" x14ac:dyDescent="0.4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  <c r="P3487" s="1" t="str">
        <f t="shared" si="57"/>
        <v>28-6-2024</v>
      </c>
    </row>
    <row r="3488" spans="1:16" x14ac:dyDescent="0.4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  <c r="P3488" s="1" t="str">
        <f t="shared" si="57"/>
        <v>28-6-2024</v>
      </c>
    </row>
    <row r="3489" spans="1:16" x14ac:dyDescent="0.4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  <c r="P3489" s="1" t="str">
        <f t="shared" si="57"/>
        <v>28-6-2024</v>
      </c>
    </row>
    <row r="3490" spans="1:16" x14ac:dyDescent="0.4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  <c r="P3490" s="1" t="str">
        <f t="shared" si="57"/>
        <v>28-6-2024</v>
      </c>
    </row>
    <row r="3491" spans="1:16" x14ac:dyDescent="0.4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  <c r="P3491" s="1" t="str">
        <f t="shared" si="57"/>
        <v>29-6-2024</v>
      </c>
    </row>
    <row r="3492" spans="1:16" x14ac:dyDescent="0.4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  <c r="P3492" s="1" t="str">
        <f t="shared" si="57"/>
        <v>29-6-2024</v>
      </c>
    </row>
    <row r="3493" spans="1:16" x14ac:dyDescent="0.4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  <c r="P3493" s="1" t="str">
        <f t="shared" si="57"/>
        <v>29-6-2024</v>
      </c>
    </row>
    <row r="3494" spans="1:16" x14ac:dyDescent="0.4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  <c r="P3494" s="1" t="str">
        <f t="shared" si="57"/>
        <v>29-6-2024</v>
      </c>
    </row>
    <row r="3495" spans="1:16" x14ac:dyDescent="0.4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  <c r="P3495" s="1" t="str">
        <f t="shared" si="57"/>
        <v>30-6-2024</v>
      </c>
    </row>
    <row r="3496" spans="1:16" x14ac:dyDescent="0.4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  <c r="P3496" s="1" t="str">
        <f t="shared" si="57"/>
        <v>30-6-2024</v>
      </c>
    </row>
    <row r="3497" spans="1:16" x14ac:dyDescent="0.4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  <c r="P3497" s="1" t="str">
        <f t="shared" si="57"/>
        <v>30-6-2024</v>
      </c>
    </row>
    <row r="3498" spans="1:16" x14ac:dyDescent="0.4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  <c r="P3498" s="1" t="str">
        <f t="shared" si="57"/>
        <v>1-7-2024</v>
      </c>
    </row>
    <row r="3499" spans="1:16" x14ac:dyDescent="0.4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  <c r="P3499" s="1" t="str">
        <f t="shared" si="57"/>
        <v>1-7-2024</v>
      </c>
    </row>
    <row r="3500" spans="1:16" x14ac:dyDescent="0.4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  <c r="P3500" s="1" t="str">
        <f t="shared" si="57"/>
        <v>1-7-2024</v>
      </c>
    </row>
    <row r="3501" spans="1:16" x14ac:dyDescent="0.4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  <c r="P3501" s="1" t="str">
        <f t="shared" si="57"/>
        <v>2-7-2024</v>
      </c>
    </row>
    <row r="3502" spans="1:16" x14ac:dyDescent="0.4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  <c r="P3502" s="1" t="str">
        <f t="shared" si="57"/>
        <v>2-7-2024</v>
      </c>
    </row>
    <row r="3503" spans="1:16" x14ac:dyDescent="0.4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  <c r="P3503" s="1" t="str">
        <f t="shared" si="57"/>
        <v>2-7-2024</v>
      </c>
    </row>
    <row r="3504" spans="1:16" x14ac:dyDescent="0.4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  <c r="P3504" s="1" t="str">
        <f t="shared" si="57"/>
        <v>2-7-2024</v>
      </c>
    </row>
    <row r="3505" spans="1:16" x14ac:dyDescent="0.4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  <c r="P3505" s="1" t="str">
        <f t="shared" si="57"/>
        <v>3-7-2024</v>
      </c>
    </row>
    <row r="3506" spans="1:16" x14ac:dyDescent="0.4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  <c r="P3506" s="1" t="str">
        <f t="shared" si="57"/>
        <v>3-7-2024</v>
      </c>
    </row>
    <row r="3507" spans="1:16" x14ac:dyDescent="0.4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  <c r="P3507" s="1" t="str">
        <f t="shared" si="57"/>
        <v>3-7-2024</v>
      </c>
    </row>
    <row r="3508" spans="1:16" x14ac:dyDescent="0.4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  <c r="P3508" s="1" t="str">
        <f t="shared" si="57"/>
        <v>3-7-2024</v>
      </c>
    </row>
    <row r="3509" spans="1:16" x14ac:dyDescent="0.4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  <c r="P3509" s="1" t="str">
        <f t="shared" si="57"/>
        <v>4-7-2024</v>
      </c>
    </row>
    <row r="3510" spans="1:16" x14ac:dyDescent="0.4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  <c r="P3510" s="1" t="str">
        <f t="shared" si="57"/>
        <v>4-7-2024</v>
      </c>
    </row>
    <row r="3511" spans="1:16" x14ac:dyDescent="0.4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  <c r="P3511" s="1" t="str">
        <f t="shared" si="57"/>
        <v>4-7-2024</v>
      </c>
    </row>
    <row r="3512" spans="1:16" x14ac:dyDescent="0.4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  <c r="P3512" s="1" t="str">
        <f t="shared" si="57"/>
        <v>5-7-2024</v>
      </c>
    </row>
    <row r="3513" spans="1:16" x14ac:dyDescent="0.4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  <c r="P3513" s="1" t="str">
        <f t="shared" si="57"/>
        <v>5-7-2024</v>
      </c>
    </row>
    <row r="3514" spans="1:16" x14ac:dyDescent="0.4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  <c r="P3514" s="1" t="str">
        <f t="shared" si="57"/>
        <v>5-7-2024</v>
      </c>
    </row>
    <row r="3515" spans="1:16" x14ac:dyDescent="0.4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  <c r="P3515" s="1" t="str">
        <f t="shared" si="57"/>
        <v>5-7-2024</v>
      </c>
    </row>
    <row r="3516" spans="1:16" x14ac:dyDescent="0.4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  <c r="P3516" s="1" t="str">
        <f t="shared" si="57"/>
        <v>6-7-2024</v>
      </c>
    </row>
    <row r="3517" spans="1:16" x14ac:dyDescent="0.4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  <c r="P3517" s="1" t="str">
        <f t="shared" si="57"/>
        <v>6-7-2024</v>
      </c>
    </row>
    <row r="3518" spans="1:16" x14ac:dyDescent="0.4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  <c r="P3518" s="1" t="str">
        <f t="shared" si="57"/>
        <v>6-7-2024</v>
      </c>
    </row>
    <row r="3519" spans="1:16" x14ac:dyDescent="0.4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  <c r="P3519" s="1" t="str">
        <f t="shared" si="57"/>
        <v>7-7-2024</v>
      </c>
    </row>
    <row r="3520" spans="1:16" x14ac:dyDescent="0.4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  <c r="P3520" s="1" t="str">
        <f t="shared" si="57"/>
        <v>7-7-2024</v>
      </c>
    </row>
    <row r="3521" spans="1:16" x14ac:dyDescent="0.4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  <c r="P3521" s="1" t="str">
        <f t="shared" si="57"/>
        <v>7-7-2024</v>
      </c>
    </row>
    <row r="3522" spans="1:16" x14ac:dyDescent="0.4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  <c r="P3522" s="1" t="str">
        <f t="shared" si="57"/>
        <v>8-7-2024</v>
      </c>
    </row>
    <row r="3523" spans="1:16" x14ac:dyDescent="0.4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  <c r="P3523" s="1" t="str">
        <f t="shared" ref="P3523:P3586" si="58">B3523&amp;"-"&amp;C3523&amp;"-"&amp;D3523</f>
        <v>8-7-2024</v>
      </c>
    </row>
    <row r="3524" spans="1:16" x14ac:dyDescent="0.4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  <c r="P3524" s="1" t="str">
        <f t="shared" si="58"/>
        <v>8-7-2024</v>
      </c>
    </row>
    <row r="3525" spans="1:16" x14ac:dyDescent="0.4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  <c r="P3525" s="1" t="str">
        <f t="shared" si="58"/>
        <v>9-7-2024</v>
      </c>
    </row>
    <row r="3526" spans="1:16" x14ac:dyDescent="0.4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  <c r="P3526" s="1" t="str">
        <f t="shared" si="58"/>
        <v>9-7-2024</v>
      </c>
    </row>
    <row r="3527" spans="1:16" x14ac:dyDescent="0.4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  <c r="P3527" s="1" t="str">
        <f t="shared" si="58"/>
        <v>9-7-2024</v>
      </c>
    </row>
    <row r="3528" spans="1:16" x14ac:dyDescent="0.4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  <c r="P3528" s="1" t="str">
        <f t="shared" si="58"/>
        <v>10-7-2024</v>
      </c>
    </row>
    <row r="3529" spans="1:16" x14ac:dyDescent="0.4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  <c r="P3529" s="1" t="str">
        <f t="shared" si="58"/>
        <v>10-7-2024</v>
      </c>
    </row>
    <row r="3530" spans="1:16" x14ac:dyDescent="0.4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  <c r="P3530" s="1" t="str">
        <f t="shared" si="58"/>
        <v>10-7-2024</v>
      </c>
    </row>
    <row r="3531" spans="1:16" x14ac:dyDescent="0.4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  <c r="P3531" s="1" t="str">
        <f t="shared" si="58"/>
        <v>11-7-2024</v>
      </c>
    </row>
    <row r="3532" spans="1:16" x14ac:dyDescent="0.4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  <c r="P3532" s="1" t="str">
        <f t="shared" si="58"/>
        <v>11-7-2024</v>
      </c>
    </row>
    <row r="3533" spans="1:16" x14ac:dyDescent="0.4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  <c r="P3533" s="1" t="str">
        <f t="shared" si="58"/>
        <v>11-7-2024</v>
      </c>
    </row>
    <row r="3534" spans="1:16" x14ac:dyDescent="0.4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  <c r="P3534" s="1" t="str">
        <f t="shared" si="58"/>
        <v>11-7-2024</v>
      </c>
    </row>
    <row r="3535" spans="1:16" x14ac:dyDescent="0.4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  <c r="P3535" s="1" t="str">
        <f t="shared" si="58"/>
        <v>12-7-2024</v>
      </c>
    </row>
    <row r="3536" spans="1:16" x14ac:dyDescent="0.4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  <c r="P3536" s="1" t="str">
        <f t="shared" si="58"/>
        <v>12-7-2024</v>
      </c>
    </row>
    <row r="3537" spans="1:16" x14ac:dyDescent="0.4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  <c r="P3537" s="1" t="str">
        <f t="shared" si="58"/>
        <v>12-7-2024</v>
      </c>
    </row>
    <row r="3538" spans="1:16" x14ac:dyDescent="0.4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  <c r="P3538" s="1" t="str">
        <f t="shared" si="58"/>
        <v>13-7-2024</v>
      </c>
    </row>
    <row r="3539" spans="1:16" x14ac:dyDescent="0.4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  <c r="P3539" s="1" t="str">
        <f t="shared" si="58"/>
        <v>13-7-2024</v>
      </c>
    </row>
    <row r="3540" spans="1:16" x14ac:dyDescent="0.4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  <c r="P3540" s="1" t="str">
        <f t="shared" si="58"/>
        <v>13-7-2024</v>
      </c>
    </row>
    <row r="3541" spans="1:16" x14ac:dyDescent="0.4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  <c r="P3541" s="1" t="str">
        <f t="shared" si="58"/>
        <v>13-7-2024</v>
      </c>
    </row>
    <row r="3542" spans="1:16" x14ac:dyDescent="0.4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  <c r="P3542" s="1" t="str">
        <f t="shared" si="58"/>
        <v>14-7-2024</v>
      </c>
    </row>
    <row r="3543" spans="1:16" x14ac:dyDescent="0.4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  <c r="P3543" s="1" t="str">
        <f t="shared" si="58"/>
        <v>14-7-2024</v>
      </c>
    </row>
    <row r="3544" spans="1:16" x14ac:dyDescent="0.4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  <c r="P3544" s="1" t="str">
        <f t="shared" si="58"/>
        <v>14-7-2024</v>
      </c>
    </row>
    <row r="3545" spans="1:16" x14ac:dyDescent="0.4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  <c r="P3545" s="1" t="str">
        <f t="shared" si="58"/>
        <v>14-7-2024</v>
      </c>
    </row>
    <row r="3546" spans="1:16" x14ac:dyDescent="0.4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  <c r="P3546" s="1" t="str">
        <f t="shared" si="58"/>
        <v>15-7-2024</v>
      </c>
    </row>
    <row r="3547" spans="1:16" x14ac:dyDescent="0.4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  <c r="P3547" s="1" t="str">
        <f t="shared" si="58"/>
        <v>15-7-2024</v>
      </c>
    </row>
    <row r="3548" spans="1:16" x14ac:dyDescent="0.4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  <c r="P3548" s="1" t="str">
        <f t="shared" si="58"/>
        <v>15-7-2024</v>
      </c>
    </row>
    <row r="3549" spans="1:16" x14ac:dyDescent="0.4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  <c r="P3549" s="1" t="str">
        <f t="shared" si="58"/>
        <v>16-7-2024</v>
      </c>
    </row>
    <row r="3550" spans="1:16" x14ac:dyDescent="0.4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  <c r="P3550" s="1" t="str">
        <f t="shared" si="58"/>
        <v>16-7-2024</v>
      </c>
    </row>
    <row r="3551" spans="1:16" x14ac:dyDescent="0.4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  <c r="P3551" s="1" t="str">
        <f t="shared" si="58"/>
        <v>16-7-2024</v>
      </c>
    </row>
    <row r="3552" spans="1:16" x14ac:dyDescent="0.4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  <c r="P3552" s="1" t="str">
        <f t="shared" si="58"/>
        <v>17-7-2024</v>
      </c>
    </row>
    <row r="3553" spans="1:16" x14ac:dyDescent="0.4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  <c r="P3553" s="1" t="str">
        <f t="shared" si="58"/>
        <v>17-7-2024</v>
      </c>
    </row>
    <row r="3554" spans="1:16" x14ac:dyDescent="0.4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  <c r="P3554" s="1" t="str">
        <f t="shared" si="58"/>
        <v>17-7-2024</v>
      </c>
    </row>
    <row r="3555" spans="1:16" x14ac:dyDescent="0.4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  <c r="P3555" s="1" t="str">
        <f t="shared" si="58"/>
        <v>17-7-2024</v>
      </c>
    </row>
    <row r="3556" spans="1:16" x14ac:dyDescent="0.4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  <c r="P3556" s="1" t="str">
        <f t="shared" si="58"/>
        <v>18-7-2024</v>
      </c>
    </row>
    <row r="3557" spans="1:16" x14ac:dyDescent="0.4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  <c r="P3557" s="1" t="str">
        <f t="shared" si="58"/>
        <v>18-7-2024</v>
      </c>
    </row>
    <row r="3558" spans="1:16" x14ac:dyDescent="0.4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  <c r="P3558" s="1" t="str">
        <f t="shared" si="58"/>
        <v>18-7-2024</v>
      </c>
    </row>
    <row r="3559" spans="1:16" x14ac:dyDescent="0.4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  <c r="P3559" s="1" t="str">
        <f t="shared" si="58"/>
        <v>19-7-2024</v>
      </c>
    </row>
    <row r="3560" spans="1:16" x14ac:dyDescent="0.4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  <c r="P3560" s="1" t="str">
        <f t="shared" si="58"/>
        <v>19-7-2024</v>
      </c>
    </row>
    <row r="3561" spans="1:16" x14ac:dyDescent="0.4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  <c r="P3561" s="1" t="str">
        <f t="shared" si="58"/>
        <v>19-7-2024</v>
      </c>
    </row>
    <row r="3562" spans="1:16" x14ac:dyDescent="0.4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  <c r="P3562" s="1" t="str">
        <f t="shared" si="58"/>
        <v>20-7-2024</v>
      </c>
    </row>
    <row r="3563" spans="1:16" x14ac:dyDescent="0.4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  <c r="P3563" s="1" t="str">
        <f t="shared" si="58"/>
        <v>20-7-2024</v>
      </c>
    </row>
    <row r="3564" spans="1:16" x14ac:dyDescent="0.4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  <c r="P3564" s="1" t="str">
        <f t="shared" si="58"/>
        <v>20-7-2024</v>
      </c>
    </row>
    <row r="3565" spans="1:16" x14ac:dyDescent="0.4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  <c r="P3565" s="1" t="str">
        <f t="shared" si="58"/>
        <v>20-7-2024</v>
      </c>
    </row>
    <row r="3566" spans="1:16" x14ac:dyDescent="0.4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  <c r="P3566" s="1" t="str">
        <f t="shared" si="58"/>
        <v>21-7-2024</v>
      </c>
    </row>
    <row r="3567" spans="1:16" x14ac:dyDescent="0.4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  <c r="P3567" s="1" t="str">
        <f t="shared" si="58"/>
        <v>21-7-2024</v>
      </c>
    </row>
    <row r="3568" spans="1:16" x14ac:dyDescent="0.4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  <c r="P3568" s="1" t="str">
        <f t="shared" si="58"/>
        <v>21-7-2024</v>
      </c>
    </row>
    <row r="3569" spans="1:16" x14ac:dyDescent="0.4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  <c r="P3569" s="1" t="str">
        <f t="shared" si="58"/>
        <v>21-7-2024</v>
      </c>
    </row>
    <row r="3570" spans="1:16" x14ac:dyDescent="0.4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  <c r="P3570" s="1" t="str">
        <f t="shared" si="58"/>
        <v>22-7-2024</v>
      </c>
    </row>
    <row r="3571" spans="1:16" x14ac:dyDescent="0.4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  <c r="P3571" s="1" t="str">
        <f t="shared" si="58"/>
        <v>22-7-2024</v>
      </c>
    </row>
    <row r="3572" spans="1:16" x14ac:dyDescent="0.4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  <c r="P3572" s="1" t="str">
        <f t="shared" si="58"/>
        <v>22-7-2024</v>
      </c>
    </row>
    <row r="3573" spans="1:16" x14ac:dyDescent="0.4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  <c r="P3573" s="1" t="str">
        <f t="shared" si="58"/>
        <v>23-7-2024</v>
      </c>
    </row>
    <row r="3574" spans="1:16" x14ac:dyDescent="0.4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  <c r="P3574" s="1" t="str">
        <f t="shared" si="58"/>
        <v>23-7-2024</v>
      </c>
    </row>
    <row r="3575" spans="1:16" x14ac:dyDescent="0.4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  <c r="P3575" s="1" t="str">
        <f t="shared" si="58"/>
        <v>23-7-2024</v>
      </c>
    </row>
    <row r="3576" spans="1:16" x14ac:dyDescent="0.4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  <c r="P3576" s="1" t="str">
        <f t="shared" si="58"/>
        <v>23-7-2024</v>
      </c>
    </row>
    <row r="3577" spans="1:16" x14ac:dyDescent="0.4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  <c r="P3577" s="1" t="str">
        <f t="shared" si="58"/>
        <v>24-7-2024</v>
      </c>
    </row>
    <row r="3578" spans="1:16" x14ac:dyDescent="0.4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  <c r="P3578" s="1" t="str">
        <f t="shared" si="58"/>
        <v>24-7-2024</v>
      </c>
    </row>
    <row r="3579" spans="1:16" x14ac:dyDescent="0.4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  <c r="P3579" s="1" t="str">
        <f t="shared" si="58"/>
        <v>24-7-2024</v>
      </c>
    </row>
    <row r="3580" spans="1:16" x14ac:dyDescent="0.4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  <c r="P3580" s="1" t="str">
        <f t="shared" si="58"/>
        <v>25-7-2024</v>
      </c>
    </row>
    <row r="3581" spans="1:16" x14ac:dyDescent="0.4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  <c r="P3581" s="1" t="str">
        <f t="shared" si="58"/>
        <v>25-7-2024</v>
      </c>
    </row>
    <row r="3582" spans="1:16" x14ac:dyDescent="0.4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  <c r="P3582" s="1" t="str">
        <f t="shared" si="58"/>
        <v>25-7-2024</v>
      </c>
    </row>
    <row r="3583" spans="1:16" x14ac:dyDescent="0.4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  <c r="P3583" s="1" t="str">
        <f t="shared" si="58"/>
        <v>26-7-2024</v>
      </c>
    </row>
    <row r="3584" spans="1:16" x14ac:dyDescent="0.4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  <c r="P3584" s="1" t="str">
        <f t="shared" si="58"/>
        <v>26-7-2024</v>
      </c>
    </row>
    <row r="3585" spans="1:16" x14ac:dyDescent="0.4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  <c r="P3585" s="1" t="str">
        <f t="shared" si="58"/>
        <v>26-7-2024</v>
      </c>
    </row>
    <row r="3586" spans="1:16" x14ac:dyDescent="0.4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  <c r="P3586" s="1" t="str">
        <f t="shared" si="58"/>
        <v>27-7-2024</v>
      </c>
    </row>
    <row r="3587" spans="1:16" x14ac:dyDescent="0.4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  <c r="P3587" s="1" t="str">
        <f t="shared" ref="P3587:P3614" si="59">B3587&amp;"-"&amp;C3587&amp;"-"&amp;D3587</f>
        <v>27-7-2024</v>
      </c>
    </row>
    <row r="3588" spans="1:16" x14ac:dyDescent="0.4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  <c r="P3588" s="1" t="str">
        <f t="shared" si="59"/>
        <v>27-7-2024</v>
      </c>
    </row>
    <row r="3589" spans="1:16" x14ac:dyDescent="0.4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  <c r="P3589" s="1" t="str">
        <f t="shared" si="59"/>
        <v>27-7-2024</v>
      </c>
    </row>
    <row r="3590" spans="1:16" x14ac:dyDescent="0.4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  <c r="P3590" s="1" t="str">
        <f t="shared" si="59"/>
        <v>28-7-2024</v>
      </c>
    </row>
    <row r="3591" spans="1:16" x14ac:dyDescent="0.4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  <c r="P3591" s="1" t="str">
        <f t="shared" si="59"/>
        <v>28-7-2024</v>
      </c>
    </row>
    <row r="3592" spans="1:16" x14ac:dyDescent="0.4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  <c r="P3592" s="1" t="str">
        <f t="shared" si="59"/>
        <v>28-7-2024</v>
      </c>
    </row>
    <row r="3593" spans="1:16" x14ac:dyDescent="0.4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  <c r="P3593" s="1" t="str">
        <f t="shared" si="59"/>
        <v>28-7-2024</v>
      </c>
    </row>
    <row r="3594" spans="1:16" x14ac:dyDescent="0.4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  <c r="P3594" s="1" t="str">
        <f t="shared" si="59"/>
        <v>29-7-2024</v>
      </c>
    </row>
    <row r="3595" spans="1:16" x14ac:dyDescent="0.4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  <c r="P3595" s="1" t="str">
        <f t="shared" si="59"/>
        <v>29-7-2024</v>
      </c>
    </row>
    <row r="3596" spans="1:16" x14ac:dyDescent="0.4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  <c r="P3596" s="1" t="str">
        <f t="shared" si="59"/>
        <v>29-7-2024</v>
      </c>
    </row>
    <row r="3597" spans="1:16" x14ac:dyDescent="0.4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  <c r="P3597" s="1" t="str">
        <f t="shared" si="59"/>
        <v>29-7-2024</v>
      </c>
    </row>
    <row r="3598" spans="1:16" x14ac:dyDescent="0.4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  <c r="P3598" s="1" t="str">
        <f t="shared" si="59"/>
        <v>30-7-2024</v>
      </c>
    </row>
    <row r="3599" spans="1:16" x14ac:dyDescent="0.4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  <c r="P3599" s="1" t="str">
        <f t="shared" si="59"/>
        <v>30-7-2024</v>
      </c>
    </row>
    <row r="3600" spans="1:16" x14ac:dyDescent="0.4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  <c r="P3600" s="1" t="str">
        <f t="shared" si="59"/>
        <v>30-7-2024</v>
      </c>
    </row>
    <row r="3601" spans="1:16" x14ac:dyDescent="0.4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  <c r="P3601" s="1" t="str">
        <f t="shared" si="59"/>
        <v>30-7-2024</v>
      </c>
    </row>
    <row r="3602" spans="1:16" x14ac:dyDescent="0.4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  <c r="P3602" s="1" t="str">
        <f t="shared" si="59"/>
        <v>31-7-2024</v>
      </c>
    </row>
    <row r="3603" spans="1:16" x14ac:dyDescent="0.4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  <c r="P3603" s="1" t="str">
        <f t="shared" si="59"/>
        <v>31-7-2024</v>
      </c>
    </row>
    <row r="3604" spans="1:16" x14ac:dyDescent="0.4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  <c r="P3604" s="1" t="str">
        <f t="shared" si="59"/>
        <v>31-7-2024</v>
      </c>
    </row>
    <row r="3605" spans="1:16" x14ac:dyDescent="0.4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  <c r="P3605" s="1" t="str">
        <f t="shared" si="59"/>
        <v>31-7-2024</v>
      </c>
    </row>
    <row r="3606" spans="1:16" x14ac:dyDescent="0.4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  <c r="P3606" s="1" t="str">
        <f t="shared" si="59"/>
        <v>1-8-2024</v>
      </c>
    </row>
    <row r="3607" spans="1:16" x14ac:dyDescent="0.4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  <c r="P3607" s="1" t="str">
        <f t="shared" si="59"/>
        <v>1-8-2024</v>
      </c>
    </row>
    <row r="3608" spans="1:16" x14ac:dyDescent="0.4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  <c r="P3608" s="1" t="str">
        <f t="shared" si="59"/>
        <v>1-8-2024</v>
      </c>
    </row>
    <row r="3609" spans="1:16" x14ac:dyDescent="0.4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  <c r="P3609" s="1" t="str">
        <f t="shared" si="59"/>
        <v>2-8-2024</v>
      </c>
    </row>
    <row r="3610" spans="1:16" x14ac:dyDescent="0.4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  <c r="P3610" s="1" t="str">
        <f t="shared" si="59"/>
        <v>2-8-2024</v>
      </c>
    </row>
    <row r="3611" spans="1:16" x14ac:dyDescent="0.4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  <c r="P3611" s="1" t="str">
        <f t="shared" si="59"/>
        <v>2-8-2024</v>
      </c>
    </row>
    <row r="3612" spans="1:16" x14ac:dyDescent="0.4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  <c r="P3612" s="1" t="str">
        <f t="shared" si="59"/>
        <v>3-8-2024</v>
      </c>
    </row>
    <row r="3613" spans="1:16" x14ac:dyDescent="0.4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  <c r="P3613" s="1" t="str">
        <f t="shared" si="59"/>
        <v>3-8-2024</v>
      </c>
    </row>
    <row r="3614" spans="1:16" x14ac:dyDescent="0.4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  <c r="P3614" s="1" t="str">
        <f t="shared" si="59"/>
        <v>3-8-2024</v>
      </c>
    </row>
    <row r="3615" spans="1:16" x14ac:dyDescent="0.4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6" x14ac:dyDescent="0.4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4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4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4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4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4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4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4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4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4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4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4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4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4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4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4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4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4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4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4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4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4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4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4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4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4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4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4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4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4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4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4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4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4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4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4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4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4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4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4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4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4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4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4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4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4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4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4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4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4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4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4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4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4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4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4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4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4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4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4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4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4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4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4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4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4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4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4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4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4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4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4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4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4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4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4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4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4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4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4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4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4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4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4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4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4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4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4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4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4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4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4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4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4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4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4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4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4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4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4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4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4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4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4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4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4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4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4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4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4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4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4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4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4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4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4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4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4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4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4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4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4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4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4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4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4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4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4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4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4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4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4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4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4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4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4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4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4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4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4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4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4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4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4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4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4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4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4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4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4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4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4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4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4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4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4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4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4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4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4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4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4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4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4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4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4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4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4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4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4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4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4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4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4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4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4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4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4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4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4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4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4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4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4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4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4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4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4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4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4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4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4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4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4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4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4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4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4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4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4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4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4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4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4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4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4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4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4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4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4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4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4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4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4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4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4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4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4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4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4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4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  <row r="3837" spans="1:14" x14ac:dyDescent="0.45">
      <c r="A3837">
        <f>COUNT(A2:A3836)</f>
        <v>3835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sheetPr filterMode="1"/>
  <dimension ref="A7:O28"/>
  <sheetViews>
    <sheetView workbookViewId="0">
      <selection activeCell="A7" sqref="A7:O25"/>
    </sheetView>
  </sheetViews>
  <sheetFormatPr defaultRowHeight="14.25" x14ac:dyDescent="0.45"/>
  <cols>
    <col min="1" max="1" width="12.33203125" bestFit="1" customWidth="1"/>
    <col min="7" max="7" width="9" bestFit="1" customWidth="1"/>
    <col min="8" max="8" width="11.73046875" bestFit="1" customWidth="1"/>
    <col min="9" max="9" width="14.1328125" bestFit="1" customWidth="1"/>
    <col min="10" max="10" width="12.19921875" bestFit="1" customWidth="1"/>
    <col min="12" max="12" width="15" bestFit="1" customWidth="1"/>
    <col min="13" max="13" width="15.06640625" bestFit="1" customWidth="1"/>
    <col min="14" max="14" width="12.86328125" bestFit="1" customWidth="1"/>
    <col min="15" max="15" width="12.33203125" bestFit="1" customWidth="1"/>
  </cols>
  <sheetData>
    <row r="7" spans="1:15" x14ac:dyDescent="0.45">
      <c r="A7" s="2" t="s">
        <v>0</v>
      </c>
      <c r="B7" s="3" t="s">
        <v>1027</v>
      </c>
      <c r="C7" s="3" t="s">
        <v>1028</v>
      </c>
      <c r="D7" s="3" t="s">
        <v>1029</v>
      </c>
      <c r="E7" s="3" t="s">
        <v>1044</v>
      </c>
      <c r="F7" s="2" t="s">
        <v>1</v>
      </c>
      <c r="G7" s="2" t="s">
        <v>2</v>
      </c>
      <c r="H7" s="2" t="s">
        <v>3</v>
      </c>
      <c r="I7" s="4" t="s">
        <v>4</v>
      </c>
      <c r="J7" s="2" t="s">
        <v>5</v>
      </c>
      <c r="K7" s="2" t="s">
        <v>6</v>
      </c>
      <c r="L7" s="2" t="s">
        <v>7</v>
      </c>
      <c r="M7" s="2" t="s">
        <v>8</v>
      </c>
      <c r="N7" s="4" t="s">
        <v>9</v>
      </c>
      <c r="O7" s="2" t="s">
        <v>0</v>
      </c>
    </row>
    <row r="8" spans="1:15" x14ac:dyDescent="0.45">
      <c r="A8">
        <v>1</v>
      </c>
      <c r="B8">
        <v>9</v>
      </c>
      <c r="C8">
        <v>10</v>
      </c>
      <c r="D8">
        <v>2021</v>
      </c>
      <c r="E8" t="s">
        <v>1030</v>
      </c>
      <c r="F8" t="s">
        <v>10</v>
      </c>
      <c r="G8">
        <v>6</v>
      </c>
      <c r="H8">
        <v>10174.700000000001</v>
      </c>
      <c r="I8" t="s">
        <v>227</v>
      </c>
      <c r="J8">
        <v>38</v>
      </c>
      <c r="K8" t="s">
        <v>1050</v>
      </c>
      <c r="L8" t="s">
        <v>22</v>
      </c>
      <c r="M8">
        <v>5</v>
      </c>
      <c r="N8" t="s">
        <v>26</v>
      </c>
      <c r="O8">
        <v>2025.5</v>
      </c>
    </row>
    <row r="9" spans="1:15" hidden="1" x14ac:dyDescent="0.45">
      <c r="A9">
        <v>2</v>
      </c>
      <c r="B9">
        <v>9</v>
      </c>
      <c r="C9">
        <v>10</v>
      </c>
      <c r="D9">
        <v>2021</v>
      </c>
      <c r="E9" t="s">
        <v>1030</v>
      </c>
      <c r="F9" t="s">
        <v>11</v>
      </c>
      <c r="G9">
        <v>6</v>
      </c>
      <c r="H9">
        <v>10565.19</v>
      </c>
      <c r="I9" t="s">
        <v>133</v>
      </c>
      <c r="J9">
        <v>37</v>
      </c>
      <c r="K9" t="s">
        <v>19</v>
      </c>
      <c r="L9" t="s">
        <v>23</v>
      </c>
      <c r="M9">
        <v>3</v>
      </c>
      <c r="N9" t="s">
        <v>27</v>
      </c>
      <c r="O9">
        <v>2025</v>
      </c>
    </row>
    <row r="10" spans="1:15" x14ac:dyDescent="0.45">
      <c r="A10">
        <v>3</v>
      </c>
      <c r="B10">
        <v>9</v>
      </c>
      <c r="C10">
        <v>10</v>
      </c>
      <c r="D10">
        <v>2021</v>
      </c>
      <c r="E10" t="s">
        <v>1030</v>
      </c>
      <c r="F10" t="s">
        <v>11</v>
      </c>
      <c r="G10">
        <v>8</v>
      </c>
      <c r="H10">
        <v>58527.58</v>
      </c>
      <c r="I10" t="s">
        <v>541</v>
      </c>
      <c r="J10">
        <v>40</v>
      </c>
      <c r="K10" t="s">
        <v>17</v>
      </c>
      <c r="L10" t="s">
        <v>22</v>
      </c>
      <c r="M10">
        <v>5</v>
      </c>
      <c r="N10" t="s">
        <v>28</v>
      </c>
      <c r="O10">
        <v>2024.5</v>
      </c>
    </row>
    <row r="11" spans="1:15" hidden="1" x14ac:dyDescent="0.45">
      <c r="A11">
        <v>4</v>
      </c>
      <c r="B11">
        <v>10</v>
      </c>
      <c r="C11">
        <v>10</v>
      </c>
      <c r="D11">
        <v>2021</v>
      </c>
      <c r="E11" t="s">
        <v>1032</v>
      </c>
      <c r="F11" t="s">
        <v>10</v>
      </c>
      <c r="G11">
        <v>5</v>
      </c>
      <c r="H11">
        <v>25563.98</v>
      </c>
      <c r="I11" t="s">
        <v>82</v>
      </c>
      <c r="J11">
        <v>21</v>
      </c>
      <c r="K11" t="s">
        <v>17</v>
      </c>
      <c r="L11" t="s">
        <v>23</v>
      </c>
      <c r="M11">
        <v>4</v>
      </c>
      <c r="N11" t="s">
        <v>29</v>
      </c>
      <c r="O11">
        <v>2024</v>
      </c>
    </row>
    <row r="12" spans="1:15" hidden="1" x14ac:dyDescent="0.45">
      <c r="A12">
        <v>5</v>
      </c>
      <c r="B12">
        <v>10</v>
      </c>
      <c r="C12">
        <v>10</v>
      </c>
      <c r="D12">
        <v>2021</v>
      </c>
      <c r="E12" t="s">
        <v>1032</v>
      </c>
      <c r="F12" t="s">
        <v>12</v>
      </c>
      <c r="G12">
        <v>3</v>
      </c>
      <c r="H12">
        <v>48168.02</v>
      </c>
      <c r="I12" t="s">
        <v>50</v>
      </c>
      <c r="J12">
        <v>38</v>
      </c>
      <c r="K12" t="s">
        <v>1052</v>
      </c>
      <c r="L12" t="s">
        <v>1059</v>
      </c>
      <c r="M12">
        <v>5</v>
      </c>
      <c r="N12" t="s">
        <v>30</v>
      </c>
      <c r="O12">
        <v>2023.5</v>
      </c>
    </row>
    <row r="13" spans="1:15" x14ac:dyDescent="0.45">
      <c r="A13">
        <v>6</v>
      </c>
      <c r="B13">
        <v>10</v>
      </c>
      <c r="C13">
        <v>10</v>
      </c>
      <c r="D13">
        <v>2021</v>
      </c>
      <c r="E13" t="s">
        <v>1032</v>
      </c>
      <c r="F13" t="s">
        <v>13</v>
      </c>
      <c r="G13">
        <v>3</v>
      </c>
      <c r="H13">
        <v>37252.870000000003</v>
      </c>
      <c r="I13" t="s">
        <v>937</v>
      </c>
      <c r="J13">
        <v>38</v>
      </c>
      <c r="K13" t="s">
        <v>1058</v>
      </c>
      <c r="L13" t="s">
        <v>22</v>
      </c>
      <c r="M13">
        <v>3</v>
      </c>
      <c r="N13" t="s">
        <v>31</v>
      </c>
      <c r="O13">
        <v>2023</v>
      </c>
    </row>
    <row r="14" spans="1:15" x14ac:dyDescent="0.45">
      <c r="A14">
        <v>7</v>
      </c>
      <c r="B14">
        <v>10</v>
      </c>
      <c r="C14">
        <v>10</v>
      </c>
      <c r="D14">
        <v>2021</v>
      </c>
      <c r="E14" t="s">
        <v>1032</v>
      </c>
      <c r="F14" t="s">
        <v>12</v>
      </c>
      <c r="G14">
        <v>6</v>
      </c>
      <c r="H14">
        <v>61805.8</v>
      </c>
      <c r="I14" t="s">
        <v>293</v>
      </c>
      <c r="J14">
        <v>18</v>
      </c>
      <c r="K14" t="s">
        <v>19</v>
      </c>
      <c r="L14" t="s">
        <v>1060</v>
      </c>
      <c r="M14">
        <v>4</v>
      </c>
      <c r="N14" t="s">
        <v>32</v>
      </c>
      <c r="O14">
        <v>2022.5</v>
      </c>
    </row>
    <row r="15" spans="1:15" hidden="1" x14ac:dyDescent="0.45">
      <c r="A15">
        <v>8</v>
      </c>
      <c r="B15">
        <v>11</v>
      </c>
      <c r="C15">
        <v>10</v>
      </c>
      <c r="D15">
        <v>2021</v>
      </c>
      <c r="E15" t="s">
        <v>1034</v>
      </c>
      <c r="F15" t="s">
        <v>14</v>
      </c>
      <c r="G15">
        <v>2</v>
      </c>
      <c r="H15">
        <v>65017.67</v>
      </c>
      <c r="I15" t="s">
        <v>876</v>
      </c>
      <c r="J15">
        <v>32</v>
      </c>
      <c r="K15" t="s">
        <v>1051</v>
      </c>
      <c r="L15" t="s">
        <v>24</v>
      </c>
      <c r="M15">
        <v>3</v>
      </c>
      <c r="N15" t="s">
        <v>33</v>
      </c>
      <c r="O15">
        <v>2022</v>
      </c>
    </row>
    <row r="16" spans="1:15" x14ac:dyDescent="0.45">
      <c r="A16">
        <v>9</v>
      </c>
      <c r="B16">
        <v>11</v>
      </c>
      <c r="C16">
        <v>10</v>
      </c>
      <c r="D16">
        <v>2021</v>
      </c>
      <c r="E16" t="s">
        <v>1034</v>
      </c>
      <c r="F16" t="s">
        <v>11</v>
      </c>
      <c r="G16">
        <v>6</v>
      </c>
      <c r="H16">
        <v>69808.460000000006</v>
      </c>
      <c r="I16" t="s">
        <v>1003</v>
      </c>
      <c r="J16">
        <v>34</v>
      </c>
      <c r="K16" t="s">
        <v>19</v>
      </c>
      <c r="L16" t="s">
        <v>22</v>
      </c>
      <c r="M16">
        <v>5</v>
      </c>
      <c r="N16" t="s">
        <v>27</v>
      </c>
      <c r="O16">
        <v>2021.5</v>
      </c>
    </row>
    <row r="17" spans="1:15" hidden="1" x14ac:dyDescent="0.45">
      <c r="A17">
        <v>10</v>
      </c>
      <c r="B17">
        <v>11</v>
      </c>
      <c r="C17">
        <v>10</v>
      </c>
      <c r="D17">
        <v>2021</v>
      </c>
      <c r="E17" t="s">
        <v>1034</v>
      </c>
      <c r="F17" t="s">
        <v>13</v>
      </c>
      <c r="G17">
        <v>6</v>
      </c>
      <c r="I17" t="s">
        <v>126</v>
      </c>
      <c r="J17">
        <v>31</v>
      </c>
      <c r="K17" t="s">
        <v>17</v>
      </c>
      <c r="L17" t="s">
        <v>25</v>
      </c>
      <c r="M17">
        <v>2</v>
      </c>
      <c r="N17" t="s">
        <v>34</v>
      </c>
      <c r="O17">
        <v>2021</v>
      </c>
    </row>
    <row r="18" spans="1:15" hidden="1" x14ac:dyDescent="0.45">
      <c r="A18">
        <v>11</v>
      </c>
      <c r="B18">
        <v>12</v>
      </c>
      <c r="C18">
        <v>10</v>
      </c>
      <c r="D18">
        <v>2021</v>
      </c>
      <c r="E18" t="s">
        <v>1036</v>
      </c>
      <c r="F18" t="s">
        <v>13</v>
      </c>
      <c r="G18">
        <v>8</v>
      </c>
      <c r="H18">
        <v>61777.84</v>
      </c>
      <c r="I18" t="s">
        <v>649</v>
      </c>
      <c r="J18">
        <v>36</v>
      </c>
      <c r="K18" t="s">
        <v>1057</v>
      </c>
      <c r="L18" t="s">
        <v>23</v>
      </c>
      <c r="M18">
        <v>5</v>
      </c>
      <c r="N18" t="s">
        <v>34</v>
      </c>
      <c r="O18">
        <v>2020.5</v>
      </c>
    </row>
    <row r="19" spans="1:15" x14ac:dyDescent="0.45">
      <c r="A19">
        <v>12</v>
      </c>
      <c r="B19">
        <v>12</v>
      </c>
      <c r="C19">
        <v>10</v>
      </c>
      <c r="D19">
        <v>2021</v>
      </c>
      <c r="E19" t="s">
        <v>1036</v>
      </c>
      <c r="F19" t="s">
        <v>14</v>
      </c>
      <c r="G19">
        <v>7</v>
      </c>
      <c r="H19">
        <v>25961.279999999999</v>
      </c>
      <c r="I19" t="s">
        <v>764</v>
      </c>
      <c r="J19">
        <v>51</v>
      </c>
      <c r="K19" t="s">
        <v>19</v>
      </c>
      <c r="L19" t="s">
        <v>1060</v>
      </c>
      <c r="M19">
        <v>4</v>
      </c>
      <c r="N19" t="s">
        <v>33</v>
      </c>
      <c r="O19">
        <v>2020</v>
      </c>
    </row>
    <row r="20" spans="1:15" hidden="1" x14ac:dyDescent="0.45">
      <c r="A20">
        <v>13</v>
      </c>
      <c r="B20">
        <v>12</v>
      </c>
      <c r="C20">
        <v>10</v>
      </c>
      <c r="D20">
        <v>2021</v>
      </c>
      <c r="E20" t="s">
        <v>1036</v>
      </c>
      <c r="F20" t="s">
        <v>14</v>
      </c>
      <c r="G20">
        <v>8</v>
      </c>
      <c r="H20">
        <v>45448.95</v>
      </c>
      <c r="I20" t="s">
        <v>1020</v>
      </c>
      <c r="J20">
        <v>23</v>
      </c>
      <c r="K20" t="s">
        <v>17</v>
      </c>
      <c r="L20" t="s">
        <v>24</v>
      </c>
      <c r="M20">
        <v>5</v>
      </c>
      <c r="N20" t="s">
        <v>33</v>
      </c>
      <c r="O20">
        <v>2019.5</v>
      </c>
    </row>
    <row r="21" spans="1:15" hidden="1" x14ac:dyDescent="0.45">
      <c r="A21">
        <v>14</v>
      </c>
      <c r="B21">
        <v>13</v>
      </c>
      <c r="C21">
        <v>10</v>
      </c>
      <c r="D21">
        <v>2021</v>
      </c>
      <c r="E21" t="s">
        <v>1039</v>
      </c>
      <c r="F21" t="s">
        <v>10</v>
      </c>
      <c r="G21">
        <v>9</v>
      </c>
      <c r="H21">
        <v>40346.370000000003</v>
      </c>
      <c r="I21" t="s">
        <v>152</v>
      </c>
      <c r="J21">
        <v>23</v>
      </c>
      <c r="K21" t="s">
        <v>20</v>
      </c>
      <c r="L21" t="s">
        <v>23</v>
      </c>
      <c r="M21">
        <v>2</v>
      </c>
      <c r="N21" t="s">
        <v>26</v>
      </c>
      <c r="O21">
        <v>2019</v>
      </c>
    </row>
    <row r="22" spans="1:15" hidden="1" x14ac:dyDescent="0.45">
      <c r="A22">
        <v>15</v>
      </c>
      <c r="B22">
        <v>13</v>
      </c>
      <c r="C22">
        <v>10</v>
      </c>
      <c r="D22">
        <v>2021</v>
      </c>
      <c r="E22" t="s">
        <v>1038</v>
      </c>
      <c r="F22" t="s">
        <v>11</v>
      </c>
      <c r="G22">
        <v>6</v>
      </c>
      <c r="H22">
        <v>11079.29</v>
      </c>
      <c r="I22" t="s">
        <v>378</v>
      </c>
      <c r="J22">
        <v>22</v>
      </c>
      <c r="K22" t="s">
        <v>18</v>
      </c>
      <c r="L22" t="s">
        <v>24</v>
      </c>
      <c r="M22">
        <v>5</v>
      </c>
      <c r="N22" t="s">
        <v>35</v>
      </c>
      <c r="O22">
        <v>2018.5</v>
      </c>
    </row>
    <row r="23" spans="1:15" x14ac:dyDescent="0.45">
      <c r="A23">
        <v>16</v>
      </c>
      <c r="B23">
        <v>13</v>
      </c>
      <c r="C23">
        <v>10</v>
      </c>
      <c r="D23">
        <v>2021</v>
      </c>
      <c r="E23" t="s">
        <v>1038</v>
      </c>
      <c r="F23" t="s">
        <v>11</v>
      </c>
      <c r="G23">
        <v>3</v>
      </c>
      <c r="H23">
        <v>65966.28</v>
      </c>
      <c r="I23" t="s">
        <v>749</v>
      </c>
      <c r="J23">
        <v>24</v>
      </c>
      <c r="K23" t="s">
        <v>17</v>
      </c>
      <c r="L23" t="s">
        <v>1060</v>
      </c>
      <c r="M23">
        <v>2</v>
      </c>
      <c r="N23" t="s">
        <v>27</v>
      </c>
      <c r="O23">
        <v>2018</v>
      </c>
    </row>
    <row r="24" spans="1:15" x14ac:dyDescent="0.45">
      <c r="A24">
        <v>17</v>
      </c>
      <c r="B24">
        <v>14</v>
      </c>
      <c r="C24">
        <v>10</v>
      </c>
      <c r="D24">
        <v>2021</v>
      </c>
      <c r="E24" t="s">
        <v>1040</v>
      </c>
      <c r="F24" t="s">
        <v>12</v>
      </c>
      <c r="G24">
        <v>3</v>
      </c>
      <c r="H24">
        <v>14699.62</v>
      </c>
      <c r="I24" t="s">
        <v>101</v>
      </c>
      <c r="J24">
        <v>50</v>
      </c>
      <c r="K24" t="s">
        <v>1055</v>
      </c>
      <c r="L24" t="s">
        <v>22</v>
      </c>
      <c r="M24">
        <v>4</v>
      </c>
      <c r="N24" t="s">
        <v>32</v>
      </c>
      <c r="O24">
        <v>2017.5</v>
      </c>
    </row>
    <row r="25" spans="1:15" x14ac:dyDescent="0.45">
      <c r="A25">
        <v>18</v>
      </c>
      <c r="B25">
        <v>14</v>
      </c>
      <c r="C25">
        <v>10</v>
      </c>
      <c r="D25">
        <v>2021</v>
      </c>
      <c r="E25" t="s">
        <v>1040</v>
      </c>
      <c r="F25" t="s">
        <v>10</v>
      </c>
      <c r="G25">
        <v>1</v>
      </c>
      <c r="H25">
        <v>51293.14</v>
      </c>
      <c r="I25" t="s">
        <v>1011</v>
      </c>
      <c r="J25">
        <v>30</v>
      </c>
      <c r="K25" t="s">
        <v>19</v>
      </c>
      <c r="L25" t="s">
        <v>1060</v>
      </c>
      <c r="M25">
        <v>3</v>
      </c>
      <c r="N25" t="s">
        <v>26</v>
      </c>
      <c r="O25">
        <v>2017</v>
      </c>
    </row>
    <row r="26" spans="1:15" hidden="1" x14ac:dyDescent="0.45">
      <c r="A26">
        <v>19</v>
      </c>
      <c r="B26">
        <v>14</v>
      </c>
      <c r="C26">
        <v>10</v>
      </c>
      <c r="D26">
        <v>2021</v>
      </c>
      <c r="E26" t="s">
        <v>1040</v>
      </c>
      <c r="F26" t="s">
        <v>10</v>
      </c>
      <c r="G26">
        <v>5</v>
      </c>
      <c r="H26">
        <v>57100.41</v>
      </c>
      <c r="I26" t="s">
        <v>226</v>
      </c>
      <c r="J26">
        <v>18</v>
      </c>
      <c r="K26" t="s">
        <v>17</v>
      </c>
      <c r="L26" t="s">
        <v>23</v>
      </c>
      <c r="M26">
        <v>4</v>
      </c>
      <c r="N26" t="s">
        <v>26</v>
      </c>
      <c r="O26">
        <v>2016.5</v>
      </c>
    </row>
    <row r="27" spans="1:15" hidden="1" x14ac:dyDescent="0.45">
      <c r="A27">
        <v>20</v>
      </c>
      <c r="B27">
        <v>14</v>
      </c>
      <c r="C27">
        <v>10</v>
      </c>
      <c r="D27">
        <v>2021</v>
      </c>
      <c r="E27" t="s">
        <v>1040</v>
      </c>
      <c r="F27" t="s">
        <v>10</v>
      </c>
      <c r="G27">
        <v>4</v>
      </c>
      <c r="H27">
        <v>57717.27</v>
      </c>
      <c r="I27" t="s">
        <v>137</v>
      </c>
      <c r="J27">
        <v>30</v>
      </c>
      <c r="K27" t="s">
        <v>17</v>
      </c>
      <c r="L27" t="s">
        <v>23</v>
      </c>
      <c r="M27">
        <v>5</v>
      </c>
      <c r="N27" t="s">
        <v>26</v>
      </c>
      <c r="O27">
        <v>2016</v>
      </c>
    </row>
    <row r="28" spans="1:15" hidden="1" x14ac:dyDescent="0.45"/>
  </sheetData>
  <autoFilter ref="L7:L28" xr:uid="{E135C2B9-A246-412A-BBCD-263A94F1D27B}">
    <filterColumn colId="0">
      <filters>
        <filter val="UPI"/>
      </filters>
    </filterColumn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51FF-4E22-4171-9C02-6DF215430B8E}">
  <dimension ref="A1:O12"/>
  <sheetViews>
    <sheetView tabSelected="1" workbookViewId="0">
      <selection activeCell="T6" sqref="T6"/>
    </sheetView>
  </sheetViews>
  <sheetFormatPr defaultRowHeight="14.25" x14ac:dyDescent="0.45"/>
  <sheetData>
    <row r="1" spans="1:15" x14ac:dyDescent="0.4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  <c r="O1" s="2" t="s">
        <v>0</v>
      </c>
    </row>
    <row r="2" spans="1:15" x14ac:dyDescent="0.45">
      <c r="A2">
        <v>1</v>
      </c>
      <c r="B2">
        <v>9</v>
      </c>
      <c r="C2">
        <v>10</v>
      </c>
      <c r="D2">
        <v>2021</v>
      </c>
      <c r="E2" t="s">
        <v>1030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  <c r="O2">
        <v>2025.5</v>
      </c>
    </row>
    <row r="3" spans="1:15" x14ac:dyDescent="0.45">
      <c r="A3">
        <v>3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8</v>
      </c>
      <c r="H3">
        <v>58527.58</v>
      </c>
      <c r="I3" t="s">
        <v>541</v>
      </c>
      <c r="J3">
        <v>40</v>
      </c>
      <c r="K3" t="s">
        <v>17</v>
      </c>
      <c r="L3" t="s">
        <v>22</v>
      </c>
      <c r="M3">
        <v>5</v>
      </c>
      <c r="N3" t="s">
        <v>28</v>
      </c>
      <c r="O3">
        <v>2024.5</v>
      </c>
    </row>
    <row r="4" spans="1:15" x14ac:dyDescent="0.45">
      <c r="A4">
        <v>6</v>
      </c>
      <c r="B4">
        <v>10</v>
      </c>
      <c r="C4">
        <v>10</v>
      </c>
      <c r="D4">
        <v>2021</v>
      </c>
      <c r="E4" t="s">
        <v>1032</v>
      </c>
      <c r="F4" t="s">
        <v>13</v>
      </c>
      <c r="G4">
        <v>3</v>
      </c>
      <c r="H4">
        <v>37252.870000000003</v>
      </c>
      <c r="I4" t="s">
        <v>937</v>
      </c>
      <c r="J4">
        <v>38</v>
      </c>
      <c r="K4" t="s">
        <v>1058</v>
      </c>
      <c r="L4" t="s">
        <v>22</v>
      </c>
      <c r="M4">
        <v>3</v>
      </c>
      <c r="N4" t="s">
        <v>31</v>
      </c>
      <c r="O4">
        <v>2023</v>
      </c>
    </row>
    <row r="5" spans="1:15" x14ac:dyDescent="0.45">
      <c r="A5">
        <v>7</v>
      </c>
      <c r="B5">
        <v>10</v>
      </c>
      <c r="C5">
        <v>10</v>
      </c>
      <c r="D5">
        <v>2021</v>
      </c>
      <c r="E5" t="s">
        <v>1032</v>
      </c>
      <c r="F5" t="s">
        <v>12</v>
      </c>
      <c r="G5">
        <v>6</v>
      </c>
      <c r="H5">
        <v>61805.8</v>
      </c>
      <c r="I5" t="s">
        <v>293</v>
      </c>
      <c r="J5">
        <v>18</v>
      </c>
      <c r="K5" t="s">
        <v>19</v>
      </c>
      <c r="L5" t="s">
        <v>1060</v>
      </c>
      <c r="M5">
        <v>4</v>
      </c>
      <c r="N5" t="s">
        <v>32</v>
      </c>
      <c r="O5">
        <v>2022.5</v>
      </c>
    </row>
    <row r="6" spans="1:15" x14ac:dyDescent="0.45">
      <c r="A6">
        <v>9</v>
      </c>
      <c r="B6">
        <v>11</v>
      </c>
      <c r="C6">
        <v>10</v>
      </c>
      <c r="D6">
        <v>2021</v>
      </c>
      <c r="E6" t="s">
        <v>1034</v>
      </c>
      <c r="F6" t="s">
        <v>11</v>
      </c>
      <c r="G6">
        <v>6</v>
      </c>
      <c r="H6">
        <v>69808.460000000006</v>
      </c>
      <c r="I6" t="s">
        <v>1003</v>
      </c>
      <c r="J6">
        <v>34</v>
      </c>
      <c r="K6" t="s">
        <v>19</v>
      </c>
      <c r="L6" t="s">
        <v>22</v>
      </c>
      <c r="M6">
        <v>5</v>
      </c>
      <c r="N6" t="s">
        <v>27</v>
      </c>
      <c r="O6">
        <v>2021.5</v>
      </c>
    </row>
    <row r="7" spans="1:15" x14ac:dyDescent="0.45">
      <c r="A7">
        <v>12</v>
      </c>
      <c r="B7">
        <v>12</v>
      </c>
      <c r="C7">
        <v>10</v>
      </c>
      <c r="D7">
        <v>2021</v>
      </c>
      <c r="E7" t="s">
        <v>1036</v>
      </c>
      <c r="F7" t="s">
        <v>14</v>
      </c>
      <c r="G7">
        <v>7</v>
      </c>
      <c r="H7">
        <v>25961.279999999999</v>
      </c>
      <c r="I7" t="s">
        <v>764</v>
      </c>
      <c r="J7">
        <v>51</v>
      </c>
      <c r="K7" t="s">
        <v>19</v>
      </c>
      <c r="L7" t="s">
        <v>1060</v>
      </c>
      <c r="M7">
        <v>4</v>
      </c>
      <c r="N7" t="s">
        <v>33</v>
      </c>
      <c r="O7">
        <v>2020</v>
      </c>
    </row>
    <row r="8" spans="1:15" x14ac:dyDescent="0.45">
      <c r="A8">
        <v>16</v>
      </c>
      <c r="B8">
        <v>13</v>
      </c>
      <c r="C8">
        <v>10</v>
      </c>
      <c r="D8">
        <v>2021</v>
      </c>
      <c r="E8" t="s">
        <v>1038</v>
      </c>
      <c r="F8" t="s">
        <v>11</v>
      </c>
      <c r="G8">
        <v>3</v>
      </c>
      <c r="H8">
        <v>65966.28</v>
      </c>
      <c r="I8" t="s">
        <v>749</v>
      </c>
      <c r="J8">
        <v>24</v>
      </c>
      <c r="K8" t="s">
        <v>17</v>
      </c>
      <c r="L8" t="s">
        <v>1060</v>
      </c>
      <c r="M8">
        <v>2</v>
      </c>
      <c r="N8" t="s">
        <v>27</v>
      </c>
      <c r="O8">
        <v>2018</v>
      </c>
    </row>
    <row r="9" spans="1:15" x14ac:dyDescent="0.45">
      <c r="A9">
        <v>17</v>
      </c>
      <c r="B9">
        <v>14</v>
      </c>
      <c r="C9">
        <v>10</v>
      </c>
      <c r="D9">
        <v>2021</v>
      </c>
      <c r="E9" t="s">
        <v>1040</v>
      </c>
      <c r="F9" t="s">
        <v>12</v>
      </c>
      <c r="G9">
        <v>3</v>
      </c>
      <c r="H9">
        <v>14699.62</v>
      </c>
      <c r="I9" t="s">
        <v>101</v>
      </c>
      <c r="J9">
        <v>50</v>
      </c>
      <c r="K9" t="s">
        <v>1055</v>
      </c>
      <c r="L9" t="s">
        <v>22</v>
      </c>
      <c r="M9">
        <v>4</v>
      </c>
      <c r="N9" t="s">
        <v>32</v>
      </c>
      <c r="O9">
        <v>2017.5</v>
      </c>
    </row>
    <row r="10" spans="1:15" x14ac:dyDescent="0.45">
      <c r="A10">
        <v>18</v>
      </c>
      <c r="B10">
        <v>14</v>
      </c>
      <c r="C10">
        <v>10</v>
      </c>
      <c r="D10">
        <v>2021</v>
      </c>
      <c r="E10" t="s">
        <v>1040</v>
      </c>
      <c r="F10" t="s">
        <v>10</v>
      </c>
      <c r="G10">
        <v>1</v>
      </c>
      <c r="H10">
        <v>51293.14</v>
      </c>
      <c r="I10" t="s">
        <v>1011</v>
      </c>
      <c r="J10">
        <v>30</v>
      </c>
      <c r="K10" t="s">
        <v>19</v>
      </c>
      <c r="L10" t="s">
        <v>1060</v>
      </c>
      <c r="M10">
        <v>3</v>
      </c>
      <c r="N10" t="s">
        <v>26</v>
      </c>
      <c r="O10">
        <v>2017</v>
      </c>
    </row>
    <row r="12" spans="1:15" x14ac:dyDescent="0.45">
      <c r="M12" t="s">
        <v>1071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KESHAV SINGH</cp:lastModifiedBy>
  <dcterms:created xsi:type="dcterms:W3CDTF">2024-10-08T11:21:06Z</dcterms:created>
  <dcterms:modified xsi:type="dcterms:W3CDTF">2025-06-20T10:15:33Z</dcterms:modified>
</cp:coreProperties>
</file>